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6.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7.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mc:AlternateContent xmlns:mc="http://schemas.openxmlformats.org/markup-compatibility/2006">
    <mc:Choice Requires="x15">
      <x15ac:absPath xmlns:x15ac="http://schemas.microsoft.com/office/spreadsheetml/2010/11/ac" url="https://d.docs.live.net/244c2660fc4e6f3a/01 Important Docs/001 Important Personal Docs/"/>
    </mc:Choice>
  </mc:AlternateContent>
  <xr:revisionPtr revIDLastSave="585" documentId="8_{1E070703-96D8-4196-B03E-7436141848D1}" xr6:coauthVersionLast="46" xr6:coauthVersionMax="46" xr10:uidLastSave="{B3205794-4675-4A10-9E2F-221374CF427D}"/>
  <bookViews>
    <workbookView xWindow="-108" yWindow="-108" windowWidth="23256" windowHeight="13176" tabRatio="864" activeTab="2" xr2:uid="{00000000-000D-0000-FFFF-FFFF00000000}"/>
  </bookViews>
  <sheets>
    <sheet name="MobileVersion" sheetId="33" r:id="rId1"/>
    <sheet name="Dashboard" sheetId="24" r:id="rId2"/>
    <sheet name="Time Log" sheetId="1" r:id="rId3"/>
    <sheet name="Hours Spent by Category" sheetId="17" r:id="rId4"/>
    <sheet name="Hours Spent by Tasks" sheetId="26" r:id="rId5"/>
    <sheet name="Hours Spent by Days" sheetId="28" r:id="rId6"/>
    <sheet name="Projects" sheetId="16" r:id="rId7"/>
  </sheets>
  <definedNames>
    <definedName name="_xlnm._FilterDatabase" localSheetId="6" hidden="1">Projects!$A$4:$C$36</definedName>
    <definedName name="Category_Hrs_Pivot" localSheetId="3">'Hours Spent by Category'!$A:$C</definedName>
    <definedName name="CategoryID_DropDown" comment="This will be referenced in VBA New_Rec_Form in CategoryID ComboBox. The purpose of this is to create a dynamic dropdown list for Category ID combo box.">OFFSET(Projects!$F$21,0,0,COUNTA(Projects!$F$21:$F$103),1)</definedName>
    <definedName name="CategoryIDList">Projects!$F$21:$F$31</definedName>
    <definedName name="Chores">Projects!$J$22:$J$23</definedName>
    <definedName name="_xlnm.Print_Area" localSheetId="5">'Hours Spent by Days'!$A:$C</definedName>
    <definedName name="_xlnm.Print_Area" localSheetId="2">'Time Log'!$A$1:$S$170</definedName>
    <definedName name="_xlnm.Print_Titles" localSheetId="2">'Time Log'!$13:$13</definedName>
    <definedName name="projectID" localSheetId="5">Projects[Project ID]</definedName>
    <definedName name="projectID" localSheetId="4">Projects[Project ID]</definedName>
    <definedName name="projectID">Projects[Project ID]</definedName>
    <definedName name="projectID_list">OFFSET(Projects!$F$20,1,0,COUNTA(Projects!$F$21:$F$1009),1)</definedName>
    <definedName name="Slicer_Current_Period">#N/A</definedName>
    <definedName name="Slicer_Current_Period1">#N/A</definedName>
    <definedName name="Task_Hrs_Pivot" localSheetId="4">'Hours Spent by Tasks'!$A:$C</definedName>
    <definedName name="taskID" localSheetId="5">Projects[Task ID]</definedName>
    <definedName name="taskID" localSheetId="4">Projects[Task ID]</definedName>
    <definedName name="taskID">Projects[Task ID]</definedName>
    <definedName name="vertex42_copyright" hidden="1">"© 2013-2014 Vertex42 LLC"</definedName>
    <definedName name="vertex42_id" hidden="1">"time-tracking-template.xlsx"</definedName>
    <definedName name="vertex42_title" hidden="1">"Time Tracking Template"</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15" i="1" l="1"/>
  <c r="B15" i="1"/>
  <c r="C15" i="1"/>
  <c r="D15" i="1"/>
  <c r="E15" i="1"/>
  <c r="F15" i="1"/>
  <c r="P15" i="1"/>
  <c r="A16" i="1"/>
  <c r="B16" i="1"/>
  <c r="C16" i="1"/>
  <c r="D16" i="1"/>
  <c r="E16" i="1"/>
  <c r="F16" i="1"/>
  <c r="P16" i="1"/>
  <c r="P14"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A14" i="1" l="1"/>
  <c r="B14" i="1"/>
  <c r="C14" i="1"/>
  <c r="D14" i="1"/>
  <c r="E14" i="1"/>
  <c r="F14" i="1"/>
  <c r="A172" i="1"/>
  <c r="B172" i="1"/>
  <c r="C172" i="1"/>
  <c r="D172" i="1"/>
  <c r="E172" i="1"/>
  <c r="F172" i="1"/>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68" i="24"/>
  <c r="B73" i="24"/>
  <c r="B78" i="24"/>
  <c r="B69" i="24"/>
  <c r="B70" i="24"/>
  <c r="B71" i="24"/>
  <c r="B72" i="24"/>
  <c r="B74" i="24"/>
  <c r="B75" i="24"/>
  <c r="B76" i="24"/>
  <c r="B77" i="24"/>
  <c r="B68" i="24"/>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3" i="1"/>
  <c r="B170" i="1"/>
  <c r="B171" i="1"/>
  <c r="B173" i="1"/>
  <c r="A170" i="1"/>
  <c r="A171" i="1"/>
  <c r="A173" i="1"/>
  <c r="C170" i="1"/>
  <c r="C171" i="1"/>
  <c r="C173" i="1"/>
  <c r="D170" i="1"/>
  <c r="D171" i="1"/>
  <c r="D173" i="1"/>
  <c r="F170" i="1"/>
  <c r="F171" i="1"/>
  <c r="F173"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R25" i="16"/>
  <c r="C84" i="1" s="1"/>
  <c r="R26" i="16"/>
  <c r="C96" i="1" s="1"/>
  <c r="R27" i="16"/>
  <c r="C97" i="1" s="1"/>
  <c r="R28" i="16"/>
  <c r="C108" i="1" s="1"/>
  <c r="R29" i="16"/>
  <c r="C111" i="1" s="1"/>
  <c r="R30" i="16"/>
  <c r="C120" i="1" s="1"/>
  <c r="R31" i="16"/>
  <c r="C125" i="1" s="1"/>
  <c r="R32" i="16"/>
  <c r="C132" i="1" s="1"/>
  <c r="R33" i="16"/>
  <c r="C142" i="1" s="1"/>
  <c r="R34" i="16"/>
  <c r="C146" i="1" s="1"/>
  <c r="R35" i="16"/>
  <c r="C156" i="1" s="1"/>
  <c r="R36" i="16"/>
  <c r="C160" i="1" s="1"/>
  <c r="R37" i="16"/>
  <c r="C168" i="1" s="1"/>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21" i="16"/>
  <c r="C58" i="1" s="1"/>
  <c r="R22" i="16"/>
  <c r="C63" i="1" s="1"/>
  <c r="R23" i="16"/>
  <c r="C72" i="1" s="1"/>
  <c r="R24" i="16"/>
  <c r="C82" i="1" s="1"/>
  <c r="R20"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21" i="16"/>
  <c r="Q22" i="16"/>
  <c r="Q23" i="16"/>
  <c r="Q24" i="16"/>
  <c r="Q20" i="16"/>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N68" i="24"/>
  <c r="N80" i="24"/>
  <c r="N92" i="24"/>
  <c r="N69" i="24"/>
  <c r="N81" i="24"/>
  <c r="N93" i="24"/>
  <c r="N70" i="24"/>
  <c r="N82" i="24"/>
  <c r="N94" i="24"/>
  <c r="N71" i="24"/>
  <c r="N83" i="24"/>
  <c r="N95" i="24"/>
  <c r="N72" i="24"/>
  <c r="N84" i="24"/>
  <c r="N96" i="24"/>
  <c r="N73" i="24"/>
  <c r="N85" i="24"/>
  <c r="N97" i="24"/>
  <c r="N74" i="24"/>
  <c r="N86" i="24"/>
  <c r="N75" i="24"/>
  <c r="N87" i="24"/>
  <c r="N76" i="24"/>
  <c r="N88" i="24"/>
  <c r="N77" i="24"/>
  <c r="N89" i="24"/>
  <c r="N78" i="24"/>
  <c r="N90" i="24"/>
  <c r="N79" i="24"/>
  <c r="N91" i="24"/>
  <c r="C75" i="24"/>
  <c r="C74" i="24"/>
  <c r="C73" i="24"/>
  <c r="C70" i="24"/>
  <c r="C72" i="24"/>
  <c r="C71" i="24"/>
  <c r="C69" i="24"/>
  <c r="C78" i="24"/>
  <c r="C77" i="24"/>
  <c r="C76" i="24"/>
  <c r="C68" i="24"/>
  <c r="C83" i="1" l="1"/>
  <c r="C167" i="1"/>
  <c r="C103" i="1"/>
  <c r="C99" i="1"/>
  <c r="C98" i="1"/>
  <c r="C153" i="1"/>
  <c r="C143" i="1"/>
  <c r="C122" i="1"/>
  <c r="C110" i="1"/>
  <c r="C104" i="1"/>
  <c r="C102" i="1"/>
  <c r="C163" i="1"/>
  <c r="C159" i="1"/>
  <c r="C94" i="1"/>
  <c r="C158" i="1"/>
  <c r="C154" i="1"/>
  <c r="C71" i="1"/>
  <c r="C166" i="1"/>
  <c r="C134" i="1"/>
  <c r="C165" i="1"/>
  <c r="C131" i="1"/>
  <c r="C164" i="1"/>
  <c r="C130" i="1"/>
  <c r="C95" i="1"/>
  <c r="C162" i="1"/>
  <c r="C119" i="1"/>
  <c r="C118" i="1"/>
  <c r="C74" i="1"/>
  <c r="C157" i="1"/>
  <c r="C107" i="1"/>
  <c r="C70" i="1"/>
  <c r="C155" i="1"/>
  <c r="C106" i="1"/>
  <c r="C62" i="1"/>
  <c r="C141" i="1"/>
  <c r="C129" i="1"/>
  <c r="C117" i="1"/>
  <c r="C105" i="1"/>
  <c r="C93" i="1"/>
  <c r="C81" i="1"/>
  <c r="C69" i="1"/>
  <c r="C59" i="1"/>
  <c r="C152" i="1"/>
  <c r="C140" i="1"/>
  <c r="C128" i="1"/>
  <c r="C116" i="1"/>
  <c r="C92" i="1"/>
  <c r="C80" i="1"/>
  <c r="C68" i="1"/>
  <c r="C151" i="1"/>
  <c r="C139" i="1"/>
  <c r="C127" i="1"/>
  <c r="C115" i="1"/>
  <c r="C91" i="1"/>
  <c r="C79" i="1"/>
  <c r="C67" i="1"/>
  <c r="C150" i="1"/>
  <c r="C138" i="1"/>
  <c r="C126" i="1"/>
  <c r="C114" i="1"/>
  <c r="C90" i="1"/>
  <c r="C78" i="1"/>
  <c r="C66" i="1"/>
  <c r="C161" i="1"/>
  <c r="C149" i="1"/>
  <c r="C137" i="1"/>
  <c r="C113" i="1"/>
  <c r="C101" i="1"/>
  <c r="C89" i="1"/>
  <c r="C77" i="1"/>
  <c r="C65" i="1"/>
  <c r="C148" i="1"/>
  <c r="C136" i="1"/>
  <c r="C124" i="1"/>
  <c r="C112" i="1"/>
  <c r="C100" i="1"/>
  <c r="C88" i="1"/>
  <c r="C76" i="1"/>
  <c r="C64" i="1"/>
  <c r="C147" i="1"/>
  <c r="C135" i="1"/>
  <c r="C123" i="1"/>
  <c r="C87" i="1"/>
  <c r="C75" i="1"/>
  <c r="C86" i="1"/>
  <c r="C169" i="1"/>
  <c r="C145" i="1"/>
  <c r="C133" i="1"/>
  <c r="C121" i="1"/>
  <c r="C109" i="1"/>
  <c r="C85" i="1"/>
  <c r="C73" i="1"/>
  <c r="C61" i="1"/>
  <c r="C144" i="1"/>
  <c r="C60"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H3" i="1" l="1"/>
  <c r="H5" i="1" s="1"/>
  <c r="Q3" i="1"/>
  <c r="H9" i="1" l="1"/>
  <c r="H8" i="1"/>
  <c r="H6" i="1"/>
  <c r="H7" i="1"/>
  <c r="H4" i="1"/>
  <c r="M3" i="1" l="1"/>
  <c r="M9" i="1"/>
  <c r="Q4" i="1"/>
  <c r="Q16" i="1" l="1"/>
  <c r="Q15" i="1"/>
  <c r="Q173" i="1"/>
  <c r="Q161" i="1"/>
  <c r="Q149" i="1"/>
  <c r="Q137" i="1"/>
  <c r="Q125" i="1"/>
  <c r="Q113" i="1"/>
  <c r="Q101" i="1"/>
  <c r="Q89" i="1"/>
  <c r="Q77" i="1"/>
  <c r="Q65" i="1"/>
  <c r="Q53" i="1"/>
  <c r="Q41" i="1"/>
  <c r="Q29" i="1"/>
  <c r="Q17" i="1"/>
  <c r="Q64" i="1"/>
  <c r="Q40" i="1"/>
  <c r="Q171" i="1"/>
  <c r="Q159" i="1"/>
  <c r="Q147" i="1"/>
  <c r="Q135" i="1"/>
  <c r="Q123" i="1"/>
  <c r="Q111" i="1"/>
  <c r="Q99" i="1"/>
  <c r="Q87" i="1"/>
  <c r="Q75" i="1"/>
  <c r="Q63" i="1"/>
  <c r="Q51" i="1"/>
  <c r="Q39" i="1"/>
  <c r="Q27" i="1"/>
  <c r="Q52" i="1"/>
  <c r="Q170" i="1"/>
  <c r="Q158" i="1"/>
  <c r="Q146" i="1"/>
  <c r="Q134" i="1"/>
  <c r="Q122" i="1"/>
  <c r="Q110" i="1"/>
  <c r="Q98" i="1"/>
  <c r="Q86" i="1"/>
  <c r="Q74" i="1"/>
  <c r="Q62" i="1"/>
  <c r="Q50" i="1"/>
  <c r="Q38" i="1"/>
  <c r="Q26" i="1"/>
  <c r="Q14" i="1"/>
  <c r="Q148" i="1"/>
  <c r="Q169" i="1"/>
  <c r="Q157" i="1"/>
  <c r="Q145" i="1"/>
  <c r="Q133" i="1"/>
  <c r="Q121" i="1"/>
  <c r="Q109" i="1"/>
  <c r="Q97" i="1"/>
  <c r="Q85" i="1"/>
  <c r="Q73" i="1"/>
  <c r="Q61" i="1"/>
  <c r="Q49" i="1"/>
  <c r="Q37" i="1"/>
  <c r="Q25" i="1"/>
  <c r="Q112" i="1"/>
  <c r="Q168" i="1"/>
  <c r="Q156" i="1"/>
  <c r="Q144" i="1"/>
  <c r="Q132" i="1"/>
  <c r="Q120" i="1"/>
  <c r="Q108" i="1"/>
  <c r="Q96" i="1"/>
  <c r="Q84" i="1"/>
  <c r="Q72" i="1"/>
  <c r="Q60" i="1"/>
  <c r="Q48" i="1"/>
  <c r="Q36" i="1"/>
  <c r="Q24" i="1"/>
  <c r="Q172" i="1"/>
  <c r="Q167" i="1"/>
  <c r="Q155" i="1"/>
  <c r="Q143" i="1"/>
  <c r="Q131" i="1"/>
  <c r="Q119" i="1"/>
  <c r="Q107" i="1"/>
  <c r="Q95" i="1"/>
  <c r="Q83" i="1"/>
  <c r="Q71" i="1"/>
  <c r="Q59" i="1"/>
  <c r="Q47" i="1"/>
  <c r="Q35" i="1"/>
  <c r="Q23" i="1"/>
  <c r="Q136" i="1"/>
  <c r="Q166" i="1"/>
  <c r="Q154" i="1"/>
  <c r="Q142" i="1"/>
  <c r="Q130" i="1"/>
  <c r="Q118" i="1"/>
  <c r="Q106" i="1"/>
  <c r="Q94" i="1"/>
  <c r="Q82" i="1"/>
  <c r="Q70" i="1"/>
  <c r="Q58" i="1"/>
  <c r="Q46" i="1"/>
  <c r="Q34" i="1"/>
  <c r="Q22" i="1"/>
  <c r="Q124" i="1"/>
  <c r="Q165" i="1"/>
  <c r="Q153" i="1"/>
  <c r="Q141" i="1"/>
  <c r="Q129" i="1"/>
  <c r="Q117" i="1"/>
  <c r="Q105" i="1"/>
  <c r="Q93" i="1"/>
  <c r="Q81" i="1"/>
  <c r="Q69" i="1"/>
  <c r="Q57" i="1"/>
  <c r="Q45" i="1"/>
  <c r="Q33" i="1"/>
  <c r="Q21" i="1"/>
  <c r="Q160" i="1"/>
  <c r="Q164" i="1"/>
  <c r="Q152" i="1"/>
  <c r="Q140" i="1"/>
  <c r="Q128" i="1"/>
  <c r="Q116" i="1"/>
  <c r="Q104" i="1"/>
  <c r="Q92" i="1"/>
  <c r="Q80" i="1"/>
  <c r="Q68" i="1"/>
  <c r="Q56" i="1"/>
  <c r="Q44" i="1"/>
  <c r="Q32" i="1"/>
  <c r="Q20" i="1"/>
  <c r="Q76" i="1"/>
  <c r="Q163" i="1"/>
  <c r="Q151" i="1"/>
  <c r="Q139" i="1"/>
  <c r="Q127" i="1"/>
  <c r="Q115" i="1"/>
  <c r="Q103" i="1"/>
  <c r="Q91" i="1"/>
  <c r="Q79" i="1"/>
  <c r="Q67" i="1"/>
  <c r="Q55" i="1"/>
  <c r="Q43" i="1"/>
  <c r="Q31" i="1"/>
  <c r="Q19" i="1"/>
  <c r="Q100" i="1"/>
  <c r="Q28" i="1"/>
  <c r="Q162" i="1"/>
  <c r="Q150" i="1"/>
  <c r="Q138" i="1"/>
  <c r="Q126" i="1"/>
  <c r="Q114" i="1"/>
  <c r="Q102" i="1"/>
  <c r="Q90" i="1"/>
  <c r="Q78" i="1"/>
  <c r="Q66" i="1"/>
  <c r="Q54" i="1"/>
  <c r="Q42" i="1"/>
  <c r="Q30" i="1"/>
  <c r="Q18" i="1"/>
  <c r="Q88" i="1"/>
  <c r="N9" i="1"/>
  <c r="I3" i="1"/>
  <c r="M4" i="1"/>
  <c r="Q5" i="1"/>
  <c r="R4" i="1"/>
  <c r="R3" i="1"/>
  <c r="I4" i="1" l="1"/>
  <c r="Q6" i="1"/>
  <c r="R5" i="1"/>
  <c r="I5" i="1" l="1"/>
  <c r="R6" i="1"/>
  <c r="Q7" i="1"/>
  <c r="I6" i="1" l="1"/>
  <c r="Q8" i="1"/>
  <c r="R7" i="1"/>
  <c r="I7" i="1" l="1"/>
  <c r="R8" i="1"/>
  <c r="Q9" i="1"/>
  <c r="R9" i="1" s="1"/>
  <c r="I8" i="1" l="1"/>
  <c r="I9" i="1"/>
  <c r="R10" i="1"/>
  <c r="I10" i="1" l="1"/>
  <c r="M1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Brandon Wong</author>
    <author>Vertex42</author>
  </authors>
  <commentList>
    <comment ref="H3" authorId="0" shapeId="0" xr:uid="{F25B9035-F298-4653-A4D5-08709A6F5926}">
      <text>
        <r>
          <rPr>
            <b/>
            <sz val="9"/>
            <color indexed="81"/>
            <rFont val="Tahoma"/>
            <family val="2"/>
          </rPr>
          <t>Brandon Wong:</t>
        </r>
        <r>
          <rPr>
            <sz val="9"/>
            <color indexed="81"/>
            <rFont val="Tahoma"/>
            <family val="2"/>
          </rPr>
          <t xml:space="preserve">
Original formula = =(TODAY()-WEEKDAY(TODAY(),1)+2)</t>
        </r>
      </text>
    </comment>
    <comment ref="M3" authorId="0" shapeId="0" xr:uid="{D3E2A0A4-7373-4C13-94DE-0CBCC1D5B8AB}">
      <text>
        <r>
          <rPr>
            <b/>
            <sz val="9"/>
            <color indexed="81"/>
            <rFont val="Tahoma"/>
            <family val="2"/>
          </rPr>
          <t>Brandon Wong:</t>
        </r>
        <r>
          <rPr>
            <sz val="9"/>
            <color indexed="81"/>
            <rFont val="Tahoma"/>
            <family val="2"/>
          </rPr>
          <t xml:space="preserve">
For the love of God,
Do not move this cell unless modified in VBA. This variable will be used to pull most recent date
</t>
        </r>
      </text>
    </comment>
    <comment ref="O13" authorId="1" shapeId="0" xr:uid="{00000000-0006-0000-0000-000007000000}">
      <text>
        <r>
          <rPr>
            <sz val="8"/>
            <color indexed="81"/>
            <rFont val="Tahoma"/>
            <family val="2"/>
          </rPr>
          <t>Use this column for recording the number of minutes worked on a project in a given day instead of entering the Start and End times.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Brandon Wong</author>
  </authors>
  <commentList>
    <comment ref="I20" authorId="0" shapeId="0" xr:uid="{47A14493-88D2-49BD-870D-10BF93E158C7}">
      <text>
        <r>
          <rPr>
            <b/>
            <sz val="9"/>
            <color indexed="81"/>
            <rFont val="Tahoma"/>
            <family val="2"/>
          </rPr>
          <t>Brandon Wong:</t>
        </r>
        <r>
          <rPr>
            <sz val="9"/>
            <color indexed="81"/>
            <rFont val="Tahoma"/>
            <family val="2"/>
          </rPr>
          <t xml:space="preserve">
For the love of God, do not move this list. CatID_Drop Macro has been hardcoded with the location of this list</t>
        </r>
      </text>
    </comment>
  </commentList>
</comments>
</file>

<file path=xl/sharedStrings.xml><?xml version="1.0" encoding="utf-8"?>
<sst xmlns="http://schemas.openxmlformats.org/spreadsheetml/2006/main" count="749" uniqueCount="115">
  <si>
    <t>Task ID</t>
  </si>
  <si>
    <t>Project ID</t>
  </si>
  <si>
    <t>x</t>
  </si>
  <si>
    <t>Date</t>
  </si>
  <si>
    <t>Hours</t>
  </si>
  <si>
    <t>Active</t>
  </si>
  <si>
    <t>Pivot Table Report</t>
  </si>
  <si>
    <t>Projects and Tasks</t>
  </si>
  <si>
    <t>Pivot Table for the Project ID drop-down</t>
  </si>
  <si>
    <t>Pivot Table for the Task ID drop-down</t>
  </si>
  <si>
    <t>Notes</t>
  </si>
  <si>
    <t>Start
Time</t>
  </si>
  <si>
    <t>End
Time</t>
  </si>
  <si>
    <r>
      <t xml:space="preserve">Breaks
</t>
    </r>
    <r>
      <rPr>
        <sz val="8"/>
        <color theme="0"/>
        <rFont val="Trebuchet MS"/>
        <family val="2"/>
      </rPr>
      <t>(minutes)</t>
    </r>
  </si>
  <si>
    <t>Current Period</t>
  </si>
  <si>
    <t>Today</t>
  </si>
  <si>
    <t>This Week</t>
  </si>
  <si>
    <t xml:space="preserve">Date: </t>
  </si>
  <si>
    <t>TOTAL</t>
  </si>
  <si>
    <t xml:space="preserve">Start: </t>
  </si>
  <si>
    <t xml:space="preserve">End: </t>
  </si>
  <si>
    <t xml:space="preserve">HOURS </t>
  </si>
  <si>
    <t>Minutes Worked</t>
  </si>
  <si>
    <t>Chores</t>
  </si>
  <si>
    <t>House</t>
  </si>
  <si>
    <t>Life</t>
  </si>
  <si>
    <t>Distractions</t>
  </si>
  <si>
    <t>Eating</t>
  </si>
  <si>
    <t>Exercise</t>
  </si>
  <si>
    <t>Physical Health</t>
  </si>
  <si>
    <t>Youtube</t>
  </si>
  <si>
    <t>Family Time</t>
  </si>
  <si>
    <t>Hygeine</t>
  </si>
  <si>
    <t>Personal Development</t>
  </si>
  <si>
    <t>Research</t>
  </si>
  <si>
    <t>Gaming</t>
  </si>
  <si>
    <t>Professional Development</t>
  </si>
  <si>
    <t>Courses</t>
  </si>
  <si>
    <t>Mental Health - Social</t>
  </si>
  <si>
    <t>Inner Circle 1</t>
  </si>
  <si>
    <t>Inner Circle 2</t>
  </si>
  <si>
    <t>GF Time</t>
  </si>
  <si>
    <t>Meditation</t>
  </si>
  <si>
    <t>Recreational - Hobby</t>
  </si>
  <si>
    <t>Recreational - Interests</t>
  </si>
  <si>
    <t>Actually Sleeping</t>
  </si>
  <si>
    <t>Attempting to Sleep</t>
  </si>
  <si>
    <t>Work - Not Important</t>
  </si>
  <si>
    <t>Work - Important</t>
  </si>
  <si>
    <t>Driving</t>
  </si>
  <si>
    <t>Driving - Personal</t>
  </si>
  <si>
    <t>Driving - Work</t>
  </si>
  <si>
    <t>Driving to Speakeasy</t>
  </si>
  <si>
    <t>Creating Time Tracking Excel</t>
  </si>
  <si>
    <t>Driving back home</t>
  </si>
  <si>
    <t>Dicking Around</t>
  </si>
  <si>
    <t>Cuddling w/GF</t>
  </si>
  <si>
    <t>Cuddlllessss</t>
  </si>
  <si>
    <t>Morning Cleaning Routine</t>
  </si>
  <si>
    <t>Biking</t>
  </si>
  <si>
    <t>Daily Walkthrough</t>
  </si>
  <si>
    <t>Driving to Daily XYZ</t>
  </si>
  <si>
    <t>Working on Shit</t>
  </si>
  <si>
    <t>Fucking Joon</t>
  </si>
  <si>
    <t>Property Management</t>
  </si>
  <si>
    <t>Driving back to condo</t>
  </si>
  <si>
    <t>Last 7 Days</t>
  </si>
  <si>
    <t>Month</t>
  </si>
  <si>
    <t>Year</t>
  </si>
  <si>
    <t>(Multiple Items)</t>
  </si>
  <si>
    <t>Time of Day</t>
  </si>
  <si>
    <t>Productive</t>
  </si>
  <si>
    <t>Productivity</t>
  </si>
  <si>
    <t>As Planned</t>
  </si>
  <si>
    <t>Work - Planning</t>
  </si>
  <si>
    <t>Work - Productivity &amp; Flow</t>
  </si>
  <si>
    <t>Work - Network Expanding</t>
  </si>
  <si>
    <t>Work - Required Admin Work</t>
  </si>
  <si>
    <t>PD - Planning</t>
  </si>
  <si>
    <t>PD - Productivity &amp; Flow</t>
  </si>
  <si>
    <t>PD - Network Expanding</t>
  </si>
  <si>
    <t>PD - Required Admin Work</t>
  </si>
  <si>
    <t>Time of Day Table</t>
  </si>
  <si>
    <t>Start Time</t>
  </si>
  <si>
    <t>End Time</t>
  </si>
  <si>
    <t>Early Morning</t>
  </si>
  <si>
    <t>Afternoon</t>
  </si>
  <si>
    <t>Evening</t>
  </si>
  <si>
    <t>Morning</t>
  </si>
  <si>
    <t>Late Evening</t>
  </si>
  <si>
    <t>Week</t>
  </si>
  <si>
    <t>Day</t>
  </si>
  <si>
    <t>Week of Table</t>
  </si>
  <si>
    <t>Start Date</t>
  </si>
  <si>
    <t>End Date</t>
  </si>
  <si>
    <t>Week Of</t>
  </si>
  <si>
    <t>Auto Populate Attribute</t>
  </si>
  <si>
    <t>Wong's Time Tracking Log</t>
  </si>
  <si>
    <t/>
  </si>
  <si>
    <t>15-Mar</t>
  </si>
  <si>
    <t>16-Mar</t>
  </si>
  <si>
    <t>17-Mar</t>
  </si>
  <si>
    <t>18-Mar</t>
  </si>
  <si>
    <t>19-Mar</t>
  </si>
  <si>
    <t>20-Mar</t>
  </si>
  <si>
    <t>(All)</t>
  </si>
  <si>
    <t>Grand Total</t>
  </si>
  <si>
    <t>Sleeping</t>
  </si>
  <si>
    <t>Categories</t>
  </si>
  <si>
    <t>Category ID</t>
  </si>
  <si>
    <t>Xyz</t>
  </si>
  <si>
    <t>PD - Property Management</t>
  </si>
  <si>
    <t>Productive Hours</t>
  </si>
  <si>
    <t>Wasted Hours</t>
  </si>
  <si>
    <t>Mental Health - Self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</si>
</sst>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d/yy;@"/>
    <numFmt numFmtId="165" formatCode="m/d;@"/>
  </numFmts>
  <fonts count="37">
    <font>
      <sz val="10"/>
      <name val="Trebuchet MS"/>
      <family val="2"/>
    </font>
    <font>
      <sz val="10"/>
      <name val="Trebuchet MS"/>
      <family val="2"/>
    </font>
    <font>
      <b/>
      <sz val="16"/>
      <name val="Trebuchet MS"/>
      <family val="2"/>
    </font>
    <font>
      <sz val="10"/>
      <name val="Trebuchet MS"/>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sz val="10"/>
      <name val="Arial"/>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8"/>
      <color indexed="81"/>
      <name val="Tahoma"/>
      <family val="2"/>
    </font>
    <font>
      <sz val="8"/>
      <name val="Trebuchet MS"/>
      <family val="2"/>
    </font>
    <font>
      <b/>
      <sz val="10"/>
      <color theme="0"/>
      <name val="Trebuchet MS"/>
      <family val="2"/>
    </font>
    <font>
      <sz val="10"/>
      <color theme="0"/>
      <name val="Trebuchet MS"/>
      <family val="2"/>
    </font>
    <font>
      <b/>
      <sz val="18"/>
      <color theme="4" tint="-0.249977111117893"/>
      <name val="Trebuchet MS"/>
      <family val="2"/>
    </font>
    <font>
      <i/>
      <sz val="8"/>
      <name val="Trebuchet MS"/>
      <family val="2"/>
    </font>
    <font>
      <sz val="8"/>
      <color theme="0"/>
      <name val="Trebuchet MS"/>
      <family val="2"/>
    </font>
    <font>
      <i/>
      <sz val="10"/>
      <name val="Trebuchet MS"/>
      <family val="2"/>
    </font>
    <font>
      <u/>
      <sz val="10"/>
      <color rgb="FF0000FF"/>
      <name val="Arial"/>
      <family val="2"/>
    </font>
    <font>
      <sz val="10"/>
      <color rgb="FF000000"/>
      <name val="Trebuchet MS"/>
      <family val="2"/>
    </font>
    <font>
      <sz val="9"/>
      <color indexed="81"/>
      <name val="Tahoma"/>
      <family val="2"/>
    </font>
    <font>
      <b/>
      <sz val="9"/>
      <color indexed="81"/>
      <name val="Tahoma"/>
      <family val="2"/>
    </font>
    <font>
      <b/>
      <sz val="10"/>
      <name val="Trebuchet MS"/>
      <family val="2"/>
    </font>
    <font>
      <b/>
      <i/>
      <sz val="10"/>
      <name val="Trebuchet MS"/>
      <family val="2"/>
    </font>
    <font>
      <sz val="18"/>
      <name val="Trebuchet MS"/>
      <family val="2"/>
    </font>
  </fonts>
  <fills count="24">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0" tint="-0.14999847407452621"/>
        <bgColor indexed="64"/>
      </patternFill>
    </fill>
  </fills>
  <borders count="3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style="thin">
        <color theme="0" tint="-0.24994659260841701"/>
      </left>
      <right style="thin">
        <color theme="0" tint="-0.2499465926084170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theme="0" tint="-0.24994659260841701"/>
      </left>
      <right style="medium">
        <color indexed="64"/>
      </right>
      <top style="thin">
        <color theme="0" tint="-0.24994659260841701"/>
      </top>
      <bottom style="thin">
        <color theme="0" tint="-0.24994659260841701"/>
      </bottom>
      <diagonal/>
    </border>
    <border>
      <left/>
      <right style="thin">
        <color theme="0" tint="-0.24994659260841701"/>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43">
    <xf numFmtId="0" fontId="0" fillId="0" borderId="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16" borderId="0" applyNumberFormat="0" applyBorder="0" applyAlignment="0" applyProtection="0"/>
    <xf numFmtId="0" fontId="7" fillId="17" borderId="1" applyNumberFormat="0" applyAlignment="0" applyProtection="0"/>
    <xf numFmtId="0" fontId="8" fillId="18" borderId="2" applyNumberFormat="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11" borderId="1" applyNumberFormat="0" applyAlignment="0" applyProtection="0"/>
    <xf numFmtId="0" fontId="15" fillId="0" borderId="6" applyNumberFormat="0" applyFill="0" applyAlignment="0" applyProtection="0"/>
    <xf numFmtId="0" fontId="16" fillId="5" borderId="0" applyNumberFormat="0" applyBorder="0" applyAlignment="0" applyProtection="0"/>
    <xf numFmtId="0" fontId="17" fillId="5" borderId="7" applyNumberFormat="0" applyFont="0" applyAlignment="0" applyProtection="0"/>
    <xf numFmtId="0" fontId="18" fillId="17"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30" fillId="0" borderId="0" applyNumberFormat="0" applyFill="0" applyBorder="0" applyAlignment="0" applyProtection="0"/>
  </cellStyleXfs>
  <cellXfs count="102">
    <xf numFmtId="0" fontId="0" fillId="0" borderId="0" xfId="0"/>
    <xf numFmtId="0" fontId="0" fillId="0" borderId="0" xfId="0"/>
    <xf numFmtId="0" fontId="0" fillId="0" borderId="0" xfId="0" applyProtection="1"/>
    <xf numFmtId="0" fontId="3" fillId="0" borderId="0" xfId="0" applyFont="1" applyProtection="1"/>
    <xf numFmtId="0" fontId="2" fillId="0" borderId="0" xfId="0" applyFont="1" applyAlignment="1" applyProtection="1">
      <protection locked="0"/>
    </xf>
    <xf numFmtId="0" fontId="0" fillId="0" borderId="0" xfId="0" applyAlignment="1">
      <alignment horizontal="center"/>
    </xf>
    <xf numFmtId="0" fontId="0" fillId="0" borderId="0" xfId="0" pivotButton="1"/>
    <xf numFmtId="0" fontId="0" fillId="0" borderId="0" xfId="0" applyFont="1" applyFill="1" applyBorder="1" applyAlignment="1" applyProtection="1">
      <alignment horizontal="center" vertical="center" wrapText="1"/>
    </xf>
    <xf numFmtId="0" fontId="0" fillId="0" borderId="0" xfId="0" applyFont="1" applyFill="1" applyBorder="1" applyAlignment="1">
      <alignment horizontal="center"/>
    </xf>
    <xf numFmtId="0" fontId="0" fillId="0" borderId="0" xfId="0" applyFont="1" applyFill="1" applyBorder="1"/>
    <xf numFmtId="0" fontId="0" fillId="0" borderId="0" xfId="0" applyAlignment="1" applyProtection="1">
      <alignment horizontal="center"/>
    </xf>
    <xf numFmtId="0" fontId="0" fillId="0" borderId="0" xfId="0" applyFont="1" applyFill="1"/>
    <xf numFmtId="0" fontId="0" fillId="0" borderId="0" xfId="0" applyBorder="1"/>
    <xf numFmtId="0" fontId="11" fillId="0" borderId="3" xfId="30" applyAlignment="1">
      <alignment horizontal="left"/>
    </xf>
    <xf numFmtId="0" fontId="26" fillId="21" borderId="0" xfId="0" applyFont="1" applyFill="1" applyAlignment="1" applyProtection="1">
      <alignment vertical="center"/>
    </xf>
    <xf numFmtId="0" fontId="27" fillId="0" borderId="0" xfId="0" applyFont="1"/>
    <xf numFmtId="4" fontId="0" fillId="22" borderId="10" xfId="0" applyNumberFormat="1" applyFont="1" applyFill="1" applyBorder="1" applyAlignment="1">
      <alignment horizontal="center" vertical="center"/>
    </xf>
    <xf numFmtId="0" fontId="0" fillId="0" borderId="0" xfId="0" applyBorder="1" applyAlignment="1">
      <alignment horizontal="center"/>
    </xf>
    <xf numFmtId="0" fontId="0" fillId="0" borderId="0" xfId="0" applyNumberFormat="1" applyAlignment="1">
      <alignment horizontal="center" vertical="center"/>
    </xf>
    <xf numFmtId="18" fontId="1" fillId="0" borderId="10" xfId="0" applyNumberFormat="1" applyFont="1" applyFill="1" applyBorder="1" applyAlignment="1" applyProtection="1">
      <alignment horizontal="center" vertical="center"/>
      <protection locked="0"/>
    </xf>
    <xf numFmtId="18" fontId="1" fillId="0" borderId="10" xfId="0" applyNumberFormat="1" applyFont="1" applyFill="1" applyBorder="1" applyAlignment="1" applyProtection="1">
      <alignment horizontal="center" vertical="center"/>
    </xf>
    <xf numFmtId="14" fontId="0" fillId="0" borderId="0" xfId="0" applyNumberFormat="1"/>
    <xf numFmtId="18" fontId="0" fillId="0" borderId="10" xfId="0" applyNumberFormat="1" applyFont="1" applyFill="1" applyBorder="1" applyAlignment="1" applyProtection="1">
      <alignment horizontal="center" vertical="center"/>
      <protection locked="0"/>
    </xf>
    <xf numFmtId="0" fontId="29" fillId="23" borderId="12" xfId="0" applyFont="1" applyFill="1" applyBorder="1" applyAlignment="1" applyProtection="1">
      <alignment horizontal="centerContinuous" vertical="center"/>
    </xf>
    <xf numFmtId="0" fontId="29" fillId="23" borderId="17" xfId="0" applyFont="1" applyFill="1" applyBorder="1" applyAlignment="1" applyProtection="1">
      <alignment horizontal="centerContinuous" vertical="center"/>
    </xf>
    <xf numFmtId="0" fontId="29" fillId="23" borderId="18" xfId="0" applyFont="1" applyFill="1" applyBorder="1" applyAlignment="1" applyProtection="1">
      <alignment horizontal="centerContinuous" vertical="center"/>
    </xf>
    <xf numFmtId="165" fontId="0" fillId="20" borderId="19" xfId="0" applyNumberFormat="1" applyFill="1" applyBorder="1" applyAlignment="1" applyProtection="1">
      <alignment horizontal="center"/>
    </xf>
    <xf numFmtId="0" fontId="0" fillId="20" borderId="19" xfId="0" applyFill="1" applyBorder="1" applyAlignment="1" applyProtection="1">
      <alignment horizontal="center"/>
    </xf>
    <xf numFmtId="165" fontId="0" fillId="20" borderId="20" xfId="0" applyNumberFormat="1" applyFill="1" applyBorder="1" applyAlignment="1" applyProtection="1">
      <alignment horizontal="center"/>
    </xf>
    <xf numFmtId="0" fontId="0" fillId="20" borderId="20" xfId="0" applyFill="1" applyBorder="1" applyAlignment="1" applyProtection="1">
      <alignment horizontal="center"/>
    </xf>
    <xf numFmtId="165" fontId="0" fillId="20" borderId="21" xfId="0" applyNumberFormat="1" applyFill="1" applyBorder="1" applyAlignment="1" applyProtection="1">
      <alignment horizontal="center"/>
    </xf>
    <xf numFmtId="0" fontId="0" fillId="20" borderId="21" xfId="0" applyFill="1" applyBorder="1" applyAlignment="1" applyProtection="1">
      <alignment horizontal="center"/>
    </xf>
    <xf numFmtId="165" fontId="0" fillId="23" borderId="17" xfId="0" applyNumberFormat="1" applyFill="1" applyBorder="1" applyAlignment="1" applyProtection="1">
      <alignment horizontal="center"/>
    </xf>
    <xf numFmtId="0" fontId="0" fillId="23" borderId="18" xfId="0" applyFill="1" applyBorder="1" applyAlignment="1" applyProtection="1">
      <alignment horizontal="center"/>
    </xf>
    <xf numFmtId="0" fontId="25" fillId="0" borderId="23" xfId="0" applyFont="1" applyFill="1" applyBorder="1" applyAlignment="1" applyProtection="1">
      <alignment horizontal="center" vertical="center" wrapText="1"/>
    </xf>
    <xf numFmtId="0" fontId="25" fillId="0" borderId="24" xfId="0" applyFont="1" applyFill="1" applyBorder="1" applyAlignment="1" applyProtection="1">
      <alignment horizontal="center" vertical="center" wrapText="1"/>
    </xf>
    <xf numFmtId="0" fontId="24" fillId="0" borderId="24" xfId="0" applyFont="1" applyFill="1" applyBorder="1" applyAlignment="1" applyProtection="1">
      <alignment horizontal="center" vertical="center" wrapText="1"/>
    </xf>
    <xf numFmtId="0" fontId="25" fillId="0" borderId="25" xfId="0" applyFont="1" applyFill="1" applyBorder="1" applyAlignment="1" applyProtection="1">
      <alignment horizontal="center" vertical="center" wrapText="1"/>
    </xf>
    <xf numFmtId="0" fontId="0" fillId="0" borderId="0" xfId="0" applyAlignment="1"/>
    <xf numFmtId="18" fontId="0" fillId="0" borderId="0" xfId="0" applyNumberFormat="1"/>
    <xf numFmtId="0" fontId="25" fillId="0" borderId="26" xfId="0" applyFont="1" applyFill="1" applyBorder="1" applyAlignment="1" applyProtection="1">
      <alignment horizontal="center" vertical="center" wrapText="1"/>
    </xf>
    <xf numFmtId="18" fontId="1" fillId="0" borderId="10" xfId="0" applyNumberFormat="1" applyFont="1" applyFill="1" applyBorder="1" applyAlignment="1" applyProtection="1">
      <alignment horizontal="left" vertical="top"/>
    </xf>
    <xf numFmtId="18" fontId="1" fillId="0" borderId="10" xfId="0" applyNumberFormat="1" applyFont="1" applyFill="1" applyBorder="1" applyAlignment="1" applyProtection="1">
      <alignment horizontal="left" vertical="top"/>
      <protection locked="0"/>
    </xf>
    <xf numFmtId="18" fontId="0" fillId="0" borderId="10" xfId="0" applyNumberFormat="1" applyFont="1" applyFill="1" applyBorder="1" applyAlignment="1" applyProtection="1">
      <alignment horizontal="left" vertical="top"/>
      <protection locked="0"/>
    </xf>
    <xf numFmtId="0" fontId="0" fillId="0" borderId="13" xfId="0" applyFont="1" applyBorder="1" applyAlignment="1" applyProtection="1">
      <alignment horizontal="right"/>
    </xf>
    <xf numFmtId="164" fontId="0" fillId="0" borderId="27" xfId="0" applyNumberFormat="1" applyFill="1" applyBorder="1" applyAlignment="1" applyProtection="1">
      <alignment horizontal="center"/>
    </xf>
    <xf numFmtId="0" fontId="0" fillId="0" borderId="14" xfId="0" applyFont="1" applyBorder="1" applyAlignment="1" applyProtection="1">
      <alignment horizontal="right"/>
      <protection locked="0"/>
    </xf>
    <xf numFmtId="0" fontId="0" fillId="23" borderId="16" xfId="0" applyFont="1" applyFill="1" applyBorder="1" applyAlignment="1" applyProtection="1">
      <alignment horizontal="center" vertical="center"/>
    </xf>
    <xf numFmtId="0" fontId="0" fillId="0" borderId="13" xfId="0" applyBorder="1" applyAlignment="1" applyProtection="1">
      <alignment horizontal="right"/>
    </xf>
    <xf numFmtId="0" fontId="34" fillId="0" borderId="17" xfId="0" applyFont="1" applyBorder="1" applyAlignment="1">
      <alignment horizontal="centerContinuous"/>
    </xf>
    <xf numFmtId="0" fontId="0" fillId="0" borderId="22" xfId="0" applyBorder="1" applyAlignment="1">
      <alignment horizontal="centerContinuous"/>
    </xf>
    <xf numFmtId="0" fontId="0" fillId="0" borderId="18" xfId="0" applyBorder="1" applyAlignment="1">
      <alignment horizontal="centerContinuous"/>
    </xf>
    <xf numFmtId="18" fontId="0" fillId="0" borderId="19" xfId="0" applyNumberFormat="1" applyBorder="1"/>
    <xf numFmtId="0" fontId="0" fillId="0" borderId="19" xfId="0" applyBorder="1"/>
    <xf numFmtId="18" fontId="0" fillId="0" borderId="20" xfId="0" applyNumberFormat="1" applyBorder="1"/>
    <xf numFmtId="0" fontId="0" fillId="0" borderId="20" xfId="0" applyBorder="1"/>
    <xf numFmtId="18" fontId="0" fillId="0" borderId="21" xfId="0" applyNumberFormat="1" applyBorder="1"/>
    <xf numFmtId="0" fontId="0" fillId="0" borderId="21" xfId="0" applyBorder="1"/>
    <xf numFmtId="0" fontId="34" fillId="0" borderId="14" xfId="0" applyFont="1" applyBorder="1"/>
    <xf numFmtId="0" fontId="34" fillId="0" borderId="15" xfId="0" applyFont="1" applyBorder="1"/>
    <xf numFmtId="0" fontId="34" fillId="0" borderId="16" xfId="0" applyFont="1" applyBorder="1"/>
    <xf numFmtId="14" fontId="0" fillId="0" borderId="0" xfId="0" applyNumberFormat="1" applyAlignment="1">
      <alignment horizontal="left" vertical="top"/>
    </xf>
    <xf numFmtId="14" fontId="0" fillId="0" borderId="20" xfId="0" applyNumberFormat="1" applyBorder="1"/>
    <xf numFmtId="18" fontId="0" fillId="0" borderId="10" xfId="0" applyNumberFormat="1" applyFill="1" applyBorder="1" applyAlignment="1" applyProtection="1">
      <alignment horizontal="center" vertical="center"/>
    </xf>
    <xf numFmtId="18" fontId="0" fillId="0" borderId="10" xfId="0" applyNumberFormat="1" applyFont="1" applyFill="1" applyBorder="1" applyAlignment="1" applyProtection="1">
      <alignment horizontal="center" vertical="center"/>
    </xf>
    <xf numFmtId="18" fontId="0" fillId="0" borderId="10" xfId="0" applyNumberFormat="1" applyFont="1" applyFill="1" applyBorder="1" applyAlignment="1" applyProtection="1">
      <alignment horizontal="left" vertical="top"/>
    </xf>
    <xf numFmtId="14" fontId="0" fillId="0" borderId="10" xfId="0" applyNumberFormat="1" applyFont="1" applyFill="1" applyBorder="1" applyAlignment="1" applyProtection="1">
      <alignment horizontal="left" vertical="top"/>
      <protection locked="0"/>
    </xf>
    <xf numFmtId="18" fontId="0" fillId="0" borderId="10" xfId="0" applyNumberFormat="1" applyFill="1" applyBorder="1" applyAlignment="1" applyProtection="1">
      <alignment horizontal="left" vertical="top"/>
    </xf>
    <xf numFmtId="4" fontId="0" fillId="22" borderId="28" xfId="0" applyNumberFormat="1" applyFont="1" applyFill="1" applyBorder="1" applyAlignment="1" applyProtection="1">
      <alignment horizontal="center" vertical="center"/>
    </xf>
    <xf numFmtId="0" fontId="35" fillId="23" borderId="11" xfId="0" applyFont="1" applyFill="1" applyBorder="1" applyAlignment="1" applyProtection="1">
      <alignment horizontal="centerContinuous" vertical="center"/>
    </xf>
    <xf numFmtId="0" fontId="34" fillId="0" borderId="17" xfId="0" applyFont="1" applyBorder="1" applyAlignment="1" applyProtection="1">
      <alignment horizontal="centerContinuous"/>
    </xf>
    <xf numFmtId="0" fontId="34" fillId="0" borderId="22" xfId="0" applyFont="1" applyBorder="1" applyAlignment="1" applyProtection="1">
      <alignment horizontal="centerContinuous"/>
    </xf>
    <xf numFmtId="0" fontId="0" fillId="0" borderId="19" xfId="0" applyFont="1" applyFill="1" applyBorder="1" applyAlignment="1">
      <alignment horizontal="center"/>
    </xf>
    <xf numFmtId="0" fontId="0" fillId="0" borderId="19" xfId="0" applyFont="1" applyFill="1" applyBorder="1"/>
    <xf numFmtId="0" fontId="0" fillId="0" borderId="19" xfId="0" applyFont="1" applyFill="1" applyBorder="1" applyAlignment="1">
      <alignment horizontal="center" vertical="center"/>
    </xf>
    <xf numFmtId="0" fontId="0" fillId="0" borderId="20" xfId="0" applyFont="1" applyFill="1" applyBorder="1" applyAlignment="1">
      <alignment horizontal="center"/>
    </xf>
    <xf numFmtId="0" fontId="0" fillId="0" borderId="20" xfId="0" applyFont="1" applyFill="1" applyBorder="1"/>
    <xf numFmtId="0" fontId="0" fillId="0" borderId="20" xfId="0" applyFont="1" applyFill="1" applyBorder="1" applyAlignment="1">
      <alignment horizontal="center" vertical="center"/>
    </xf>
    <xf numFmtId="0" fontId="0" fillId="0" borderId="17" xfId="0" applyFont="1" applyFill="1" applyBorder="1" applyAlignment="1" applyProtection="1">
      <alignment horizontal="center" vertical="center" wrapText="1"/>
    </xf>
    <xf numFmtId="0" fontId="0" fillId="0" borderId="22" xfId="0" applyFont="1" applyFill="1" applyBorder="1" applyAlignment="1" applyProtection="1">
      <alignment horizontal="center" vertical="center" wrapText="1"/>
    </xf>
    <xf numFmtId="0" fontId="0" fillId="0" borderId="25" xfId="0" applyFont="1" applyFill="1" applyBorder="1" applyAlignment="1" applyProtection="1">
      <alignment horizontal="center" vertical="center" wrapText="1"/>
    </xf>
    <xf numFmtId="0" fontId="0" fillId="0" borderId="19" xfId="0" applyNumberFormat="1" applyBorder="1" applyAlignment="1">
      <alignment horizontal="center"/>
    </xf>
    <xf numFmtId="0" fontId="0" fillId="0" borderId="18" xfId="0" applyBorder="1"/>
    <xf numFmtId="10" fontId="0" fillId="0" borderId="19" xfId="0" applyNumberFormat="1" applyBorder="1" applyAlignment="1">
      <alignment horizontal="center"/>
    </xf>
    <xf numFmtId="0" fontId="0" fillId="0" borderId="29" xfId="0" pivotButton="1" applyBorder="1" applyAlignment="1"/>
    <xf numFmtId="0" fontId="0" fillId="0" borderId="29" xfId="0" applyBorder="1"/>
    <xf numFmtId="0" fontId="0" fillId="0" borderId="17" xfId="0" applyBorder="1"/>
    <xf numFmtId="0" fontId="36" fillId="0" borderId="19" xfId="0" applyFont="1" applyBorder="1" applyAlignment="1">
      <alignment horizontal="center" vertical="center"/>
    </xf>
    <xf numFmtId="0" fontId="36" fillId="0" borderId="20" xfId="0" applyFont="1" applyBorder="1" applyAlignment="1">
      <alignment horizontal="center" vertical="center"/>
    </xf>
    <xf numFmtId="0" fontId="36" fillId="0" borderId="17" xfId="0" applyFont="1" applyBorder="1" applyAlignment="1">
      <alignment horizontal="center" vertical="center"/>
    </xf>
    <xf numFmtId="0" fontId="36" fillId="0" borderId="18" xfId="0" applyFont="1" applyBorder="1" applyAlignment="1">
      <alignment horizontal="center" vertical="center"/>
    </xf>
    <xf numFmtId="0" fontId="36" fillId="0" borderId="20" xfId="0" applyFont="1" applyBorder="1" applyAlignment="1">
      <alignment horizontal="left" vertical="top"/>
    </xf>
    <xf numFmtId="0" fontId="36" fillId="0" borderId="19" xfId="0" applyFont="1" applyBorder="1" applyAlignment="1">
      <alignment horizontal="left" vertical="top"/>
    </xf>
    <xf numFmtId="0" fontId="3" fillId="0" borderId="22" xfId="0" applyFont="1" applyBorder="1" applyAlignment="1" applyProtection="1">
      <alignment horizontal="centerContinuous"/>
    </xf>
    <xf numFmtId="0" fontId="3" fillId="0" borderId="18" xfId="0" applyFont="1" applyBorder="1" applyAlignment="1" applyProtection="1">
      <alignment horizontal="centerContinuous"/>
    </xf>
    <xf numFmtId="0" fontId="0" fillId="0" borderId="20" xfId="0" quotePrefix="1" applyFont="1" applyFill="1" applyBorder="1" applyAlignment="1">
      <alignment horizontal="center"/>
    </xf>
    <xf numFmtId="165" fontId="0" fillId="20" borderId="30" xfId="0" applyNumberFormat="1" applyFill="1" applyBorder="1" applyAlignment="1" applyProtection="1">
      <alignment horizontal="center"/>
    </xf>
    <xf numFmtId="0" fontId="0" fillId="20" borderId="31" xfId="0" applyFill="1" applyBorder="1" applyAlignment="1" applyProtection="1">
      <alignment horizontal="center"/>
    </xf>
    <xf numFmtId="165" fontId="0" fillId="20" borderId="32" xfId="0" applyNumberFormat="1" applyFill="1" applyBorder="1" applyAlignment="1" applyProtection="1">
      <alignment horizontal="center"/>
    </xf>
    <xf numFmtId="0" fontId="0" fillId="20" borderId="33" xfId="0" applyFill="1" applyBorder="1" applyAlignment="1" applyProtection="1">
      <alignment horizontal="center"/>
    </xf>
    <xf numFmtId="165" fontId="0" fillId="20" borderId="34" xfId="0" applyNumberFormat="1" applyFill="1" applyBorder="1" applyAlignment="1" applyProtection="1">
      <alignment horizontal="center"/>
    </xf>
    <xf numFmtId="0" fontId="0" fillId="20" borderId="35" xfId="0" applyFill="1" applyBorder="1" applyAlignment="1" applyProtection="1">
      <alignment horizont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82">
    <dxf>
      <font>
        <color rgb="FF9C0006"/>
      </font>
      <fill>
        <patternFill>
          <bgColor rgb="FFFFC7CE"/>
        </patternFill>
      </fill>
    </dxf>
    <dxf>
      <font>
        <strike val="0"/>
        <outline val="0"/>
        <shadow val="0"/>
        <u val="none"/>
        <vertAlign val="baseline"/>
        <sz val="10"/>
        <color auto="1"/>
        <name val="Trebuchet MS"/>
        <family val="2"/>
        <scheme val="none"/>
      </font>
      <numFmt numFmtId="23" formatCode="h:mm\ AM/PM"/>
      <fill>
        <patternFill patternType="none">
          <fgColor indexed="64"/>
          <bgColor indexed="65"/>
        </patternFill>
      </fill>
      <alignment horizontal="left" vertical="top" textRotation="0" wrapText="0" indent="0" justifyLastLine="0" shrinkToFit="0" readingOrder="0"/>
      <border diagonalUp="0" diagonalDown="0" outline="0">
        <left style="thin">
          <color theme="0" tint="-0.24994659260841701"/>
        </left>
        <right style="thin">
          <color theme="0" tint="-0.24994659260841701"/>
        </right>
        <top/>
        <bottom/>
      </border>
      <protection locked="0" hidden="0"/>
    </dxf>
    <dxf>
      <font>
        <b val="0"/>
        <i val="0"/>
        <strike val="0"/>
        <condense val="0"/>
        <extend val="0"/>
        <outline val="0"/>
        <shadow val="0"/>
        <u val="none"/>
        <vertAlign val="baseline"/>
        <sz val="10"/>
        <color auto="1"/>
        <name val="Trebuchet MS"/>
        <scheme val="none"/>
      </font>
      <numFmt numFmtId="23" formatCode="h:mm\ AM/PM"/>
      <fill>
        <patternFill patternType="none">
          <fgColor indexed="64"/>
          <bgColor indexed="65"/>
        </patternFill>
      </fill>
      <alignment horizontal="left" vertical="top" textRotation="0" wrapText="0" indent="0" justifyLastLine="0" shrinkToFit="0" readingOrder="0"/>
      <border diagonalUp="0" diagonalDown="0" outline="0">
        <left style="thin">
          <color theme="0" tint="-0.24994659260841701"/>
        </left>
        <right style="thin">
          <color theme="0" tint="-0.24994659260841701"/>
        </right>
        <top/>
        <bottom/>
      </border>
      <protection locked="0" hidden="0"/>
    </dxf>
    <dxf>
      <font>
        <b val="0"/>
        <i val="0"/>
        <strike val="0"/>
        <condense val="0"/>
        <extend val="0"/>
        <outline val="0"/>
        <shadow val="0"/>
        <u val="none"/>
        <vertAlign val="baseline"/>
        <sz val="10"/>
        <color auto="1"/>
        <name val="Trebuchet MS"/>
        <scheme val="none"/>
      </font>
      <numFmt numFmtId="23" formatCode="h:mm\ AM/PM"/>
      <fill>
        <patternFill patternType="none">
          <fgColor indexed="64"/>
          <bgColor indexed="65"/>
        </patternFill>
      </fill>
      <alignment horizontal="left" vertical="top" textRotation="0" wrapText="0" indent="0" justifyLastLine="0" shrinkToFit="0" readingOrder="0"/>
      <border diagonalUp="0" diagonalDown="0" outline="0">
        <left style="thin">
          <color theme="0" tint="-0.24994659260841701"/>
        </left>
        <right style="thin">
          <color theme="0" tint="-0.24994659260841701"/>
        </right>
        <top/>
        <bottom/>
      </border>
      <protection locked="0" hidden="0"/>
    </dxf>
    <dxf>
      <numFmt numFmtId="14" formatCode="0.00%"/>
    </dxf>
    <dxf>
      <border diagonalUp="0" diagonalDown="0">
        <left style="thin">
          <color indexed="64"/>
        </left>
        <right style="thin">
          <color indexed="64"/>
        </right>
        <top style="thin">
          <color indexed="64"/>
        </top>
        <bottom style="thin">
          <color indexed="64"/>
        </bottom>
        <vertical/>
        <horizontal/>
      </border>
    </dxf>
    <dxf>
      <numFmt numFmtId="23" formatCode="h:mm\ AM/PM"/>
      <border diagonalUp="0" diagonalDown="0">
        <left style="thin">
          <color indexed="64"/>
        </left>
        <right style="thin">
          <color indexed="64"/>
        </right>
        <top style="thin">
          <color indexed="64"/>
        </top>
        <bottom style="thin">
          <color indexed="64"/>
        </bottom>
        <vertical/>
        <horizontal/>
      </border>
    </dxf>
    <dxf>
      <numFmt numFmtId="23" formatCode="h:mm\ AM/PM"/>
      <border diagonalUp="0" diagonalDown="0">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border outline="0">
        <bottom style="medium">
          <color indexed="64"/>
        </bottom>
      </border>
    </dxf>
    <dxf>
      <font>
        <b/>
        <i val="0"/>
        <strike val="0"/>
        <condense val="0"/>
        <extend val="0"/>
        <outline val="0"/>
        <shadow val="0"/>
        <u val="none"/>
        <vertAlign val="baseline"/>
        <sz val="10"/>
        <color auto="1"/>
        <name val="Trebuchet MS"/>
        <family val="2"/>
        <scheme val="none"/>
      </font>
    </dxf>
    <dxf>
      <border diagonalUp="0" diagonalDown="0">
        <left style="thin">
          <color indexed="64"/>
        </left>
        <right style="thin">
          <color indexed="64"/>
        </right>
        <top style="thin">
          <color indexed="64"/>
        </top>
        <bottom style="thin">
          <color indexed="64"/>
        </bottom>
        <vertical/>
        <horizontal/>
      </border>
    </dxf>
    <dxf>
      <numFmt numFmtId="23" formatCode="h:mm\ AM/PM"/>
      <border diagonalUp="0" diagonalDown="0">
        <left style="thin">
          <color indexed="64"/>
        </left>
        <right style="thin">
          <color indexed="64"/>
        </right>
        <top style="thin">
          <color indexed="64"/>
        </top>
        <bottom style="thin">
          <color indexed="64"/>
        </bottom>
        <vertical/>
        <horizontal/>
      </border>
    </dxf>
    <dxf>
      <numFmt numFmtId="23" formatCode="h:mm\ AM/PM"/>
      <border diagonalUp="0" diagonalDown="0">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border outline="0">
        <bottom style="medium">
          <color indexed="64"/>
        </bottom>
      </border>
    </dxf>
    <dxf>
      <font>
        <b/>
        <i val="0"/>
        <strike val="0"/>
        <condense val="0"/>
        <extend val="0"/>
        <outline val="0"/>
        <shadow val="0"/>
        <u val="none"/>
        <vertAlign val="baseline"/>
        <sz val="10"/>
        <color auto="1"/>
        <name val="Trebuchet MS"/>
        <family val="2"/>
        <scheme val="none"/>
      </font>
    </dxf>
    <dxf>
      <font>
        <strike val="0"/>
        <outline val="0"/>
        <shadow val="0"/>
        <u val="none"/>
        <vertAlign val="baseline"/>
        <sz val="10"/>
        <color auto="1"/>
        <name val="Trebuchet MS"/>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Trebuchet MS"/>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Trebuchet MS"/>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Trebuchet MS"/>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Trebuchet MS"/>
        <scheme val="none"/>
      </font>
      <fill>
        <patternFill patternType="none">
          <fgColor indexed="64"/>
          <bgColor auto="1"/>
        </patternFill>
      </fill>
    </dxf>
    <dxf>
      <border>
        <bottom style="medium">
          <color indexed="64"/>
        </bottom>
      </border>
    </dxf>
    <dxf>
      <font>
        <b val="0"/>
        <i val="0"/>
        <strike val="0"/>
        <condense val="0"/>
        <extend val="0"/>
        <outline val="0"/>
        <shadow val="0"/>
        <u val="none"/>
        <vertAlign val="baseline"/>
        <sz val="10"/>
        <color auto="1"/>
        <name val="Trebuchet MS"/>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ont>
        <b val="0"/>
        <i val="0"/>
        <strike val="0"/>
        <condense val="0"/>
        <extend val="0"/>
        <outline val="0"/>
        <shadow val="0"/>
        <u val="none"/>
        <vertAlign val="baseline"/>
        <sz val="10"/>
        <color auto="1"/>
        <name val="Trebuchet MS"/>
        <scheme val="none"/>
      </font>
      <numFmt numFmtId="4" formatCode="#,##0.00"/>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bottom/>
      </border>
    </dxf>
    <dxf>
      <font>
        <b val="0"/>
        <i val="0"/>
        <strike val="0"/>
        <condense val="0"/>
        <extend val="0"/>
        <outline val="0"/>
        <shadow val="0"/>
        <u val="none"/>
        <vertAlign val="baseline"/>
        <sz val="10"/>
        <color auto="1"/>
        <name val="Trebuchet MS"/>
        <scheme val="none"/>
      </font>
      <numFmt numFmtId="4" formatCode="#,##0.00"/>
      <fill>
        <patternFill patternType="solid">
          <fgColor indexed="64"/>
          <bgColor theme="3" tint="0.79998168889431442"/>
        </patternFill>
      </fill>
      <alignment horizontal="center" vertical="center" textRotation="0" wrapText="0" indent="0" justifyLastLine="0" shrinkToFit="0" readingOrder="0"/>
      <border diagonalUp="0" diagonalDown="0">
        <left/>
        <right style="thin">
          <color theme="0" tint="-0.24994659260841701"/>
        </right>
        <top/>
        <bottom/>
      </border>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Trebuchet MS"/>
        <scheme val="none"/>
      </font>
      <numFmt numFmtId="23" formatCode="h:mm\ AM/PM"/>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bottom/>
        <vertical/>
        <horizontal/>
      </border>
      <protection locked="0" hidden="0"/>
    </dxf>
    <dxf>
      <font>
        <b val="0"/>
        <i val="0"/>
        <strike val="0"/>
        <condense val="0"/>
        <extend val="0"/>
        <outline val="0"/>
        <shadow val="0"/>
        <u val="none"/>
        <vertAlign val="baseline"/>
        <sz val="10"/>
        <color auto="1"/>
        <name val="Trebuchet MS"/>
        <scheme val="none"/>
      </font>
      <numFmt numFmtId="23" formatCode="h:mm\ AM/PM"/>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bottom/>
        <vertical/>
        <horizontal/>
      </border>
      <protection locked="0" hidden="0"/>
    </dxf>
    <dxf>
      <font>
        <b val="0"/>
        <i val="0"/>
        <strike val="0"/>
        <condense val="0"/>
        <extend val="0"/>
        <outline val="0"/>
        <shadow val="0"/>
        <u val="none"/>
        <vertAlign val="baseline"/>
        <sz val="10"/>
        <color auto="1"/>
        <name val="Trebuchet MS"/>
        <scheme val="none"/>
      </font>
      <numFmt numFmtId="23" formatCode="h:mm\ AM/PM"/>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24994659260841701"/>
        </left>
        <right style="thin">
          <color theme="0" tint="-0.24994659260841701"/>
        </right>
        <top/>
        <bottom/>
      </border>
      <protection locked="0" hidden="0"/>
    </dxf>
    <dxf>
      <font>
        <b val="0"/>
        <i val="0"/>
        <strike val="0"/>
        <condense val="0"/>
        <extend val="0"/>
        <outline val="0"/>
        <shadow val="0"/>
        <u val="none"/>
        <vertAlign val="baseline"/>
        <sz val="10"/>
        <color auto="1"/>
        <name val="Trebuchet MS"/>
        <scheme val="none"/>
      </font>
      <numFmt numFmtId="23" formatCode="h:mm\ AM/PM"/>
      <fill>
        <patternFill patternType="none">
          <fgColor indexed="64"/>
          <bgColor indexed="65"/>
        </patternFill>
      </fill>
      <alignment horizontal="left" vertical="top" textRotation="0" wrapText="0" indent="0" justifyLastLine="0" shrinkToFit="0" readingOrder="0"/>
      <border diagonalUp="0" diagonalDown="0" outline="0">
        <left style="thin">
          <color theme="0" tint="-0.24994659260841701"/>
        </left>
        <right style="thin">
          <color theme="0" tint="-0.24994659260841701"/>
        </right>
        <top/>
        <bottom/>
      </border>
      <protection locked="1" hidden="0"/>
    </dxf>
    <dxf>
      <font>
        <b val="0"/>
        <i val="0"/>
        <strike val="0"/>
        <condense val="0"/>
        <extend val="0"/>
        <outline val="0"/>
        <shadow val="0"/>
        <u val="none"/>
        <vertAlign val="baseline"/>
        <sz val="10"/>
        <color auto="1"/>
        <name val="Trebuchet MS"/>
        <scheme val="none"/>
      </font>
      <numFmt numFmtId="19" formatCode="m/d/yyyy"/>
      <fill>
        <patternFill patternType="none">
          <fgColor indexed="64"/>
          <bgColor indexed="65"/>
        </patternFill>
      </fill>
      <alignment horizontal="left" vertical="top" textRotation="0" wrapText="0" indent="0" justifyLastLine="0" shrinkToFit="0" readingOrder="0"/>
      <border diagonalUp="0" diagonalDown="0" outline="0">
        <left style="thin">
          <color theme="0" tint="-0.24994659260841701"/>
        </left>
        <right style="thin">
          <color theme="0" tint="-0.24994659260841701"/>
        </right>
        <top/>
        <bottom/>
      </border>
      <protection locked="0" hidden="0"/>
    </dxf>
    <dxf>
      <numFmt numFmtId="23" formatCode="h:mm\ AM/PM"/>
      <fill>
        <patternFill patternType="none">
          <fgColor indexed="64"/>
          <bgColor indexed="65"/>
        </patternFill>
      </fill>
      <alignment horizontal="left" vertical="top" textRotation="0" wrapText="0" indent="0" justifyLastLine="0" shrinkToFit="0" readingOrder="0"/>
      <border diagonalUp="0" diagonalDown="0">
        <left style="thin">
          <color theme="0" tint="-0.24994659260841701"/>
        </left>
        <right style="thin">
          <color theme="0" tint="-0.24994659260841701"/>
        </right>
        <top/>
        <bottom/>
        <vertical/>
        <horizontal/>
      </border>
      <protection locked="1" hidden="0"/>
    </dxf>
    <dxf>
      <numFmt numFmtId="23" formatCode="h:mm\ AM/PM"/>
      <fill>
        <patternFill patternType="none">
          <fgColor indexed="64"/>
          <bgColor indexed="65"/>
        </patternFill>
      </fill>
      <alignment horizontal="left" vertical="top" textRotation="0" wrapText="0" indent="0" justifyLastLine="0" shrinkToFit="0" readingOrder="0"/>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10"/>
        <color auto="1"/>
        <name val="Trebuchet MS"/>
        <family val="2"/>
        <scheme val="none"/>
      </font>
      <numFmt numFmtId="23" formatCode="h:mm\ AM/PM"/>
      <fill>
        <patternFill patternType="none">
          <fgColor indexed="64"/>
          <bgColor indexed="65"/>
        </patternFill>
      </fill>
      <alignment horizontal="left" vertical="top" textRotation="0" wrapText="0" indent="0" justifyLastLine="0" shrinkToFit="0" readingOrder="0"/>
      <border diagonalUp="0" diagonalDown="0" outline="0">
        <left style="thin">
          <color theme="0" tint="-0.24994659260841701"/>
        </left>
        <right style="thin">
          <color theme="0" tint="-0.24994659260841701"/>
        </right>
        <top/>
        <bottom/>
      </border>
      <protection locked="1" hidden="0"/>
    </dxf>
    <dxf>
      <font>
        <b val="0"/>
        <i val="0"/>
        <strike val="0"/>
        <condense val="0"/>
        <extend val="0"/>
        <outline val="0"/>
        <shadow val="0"/>
        <u val="none"/>
        <vertAlign val="baseline"/>
        <sz val="10"/>
        <color auto="1"/>
        <name val="Trebuchet MS"/>
        <family val="2"/>
        <scheme val="none"/>
      </font>
      <numFmt numFmtId="23" formatCode="h:mm\ AM/PM"/>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bottom/>
      </border>
      <protection locked="1" hidden="0"/>
    </dxf>
    <dxf>
      <numFmt numFmtId="23" formatCode="h:mm\ AM/PM"/>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bottom/>
        <vertical/>
        <horizontal/>
      </border>
      <protection locked="1" hidden="0"/>
    </dxf>
    <dxf>
      <numFmt numFmtId="23" formatCode="h:mm\ AM/PM"/>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10"/>
        <color auto="1"/>
        <name val="Trebuchet MS"/>
        <scheme val="none"/>
      </font>
      <fill>
        <patternFill patternType="none">
          <fgColor indexed="64"/>
          <bgColor auto="1"/>
        </patternFill>
      </fill>
      <alignment horizontal="center" vertical="center" textRotation="0" wrapText="0" indent="0" justifyLastLine="0" shrinkToFit="0" readingOrder="0"/>
      <protection locked="0" hidden="0"/>
    </dxf>
    <dxf>
      <border>
        <bottom style="medium">
          <color indexed="64"/>
        </bottom>
      </border>
    </dxf>
    <dxf>
      <font>
        <b val="0"/>
        <i val="0"/>
        <strike val="0"/>
        <condense val="0"/>
        <extend val="0"/>
        <outline val="0"/>
        <shadow val="0"/>
        <u val="none"/>
        <vertAlign val="baseline"/>
        <sz val="10"/>
        <color theme="0"/>
        <name val="Trebuchet MS"/>
        <scheme val="none"/>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border>
      <protection locked="1" hidden="0"/>
    </dxf>
    <dxf>
      <font>
        <strike val="0"/>
        <outline val="0"/>
        <shadow val="0"/>
        <u val="none"/>
        <vertAlign val="baseline"/>
        <sz val="18"/>
        <color auto="1"/>
        <name val="Trebuchet MS"/>
        <family val="2"/>
        <scheme val="none"/>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8"/>
        <color auto="1"/>
        <name val="Trebuchet MS"/>
        <family val="2"/>
        <scheme val="none"/>
      </font>
      <numFmt numFmtId="0" formatCode="Genera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8"/>
        <color auto="1"/>
        <name val="Trebuchet MS"/>
        <family val="2"/>
        <scheme val="none"/>
      </font>
    </dxf>
    <dxf>
      <border>
        <bottom style="medium">
          <color indexed="64"/>
        </bottom>
      </border>
    </dxf>
    <dxf>
      <font>
        <strike val="0"/>
        <outline val="0"/>
        <shadow val="0"/>
        <u val="none"/>
        <vertAlign val="baseline"/>
        <sz val="18"/>
        <color auto="1"/>
        <name val="Trebuchet MS"/>
        <family val="2"/>
        <scheme val="none"/>
      </font>
      <alignment horizontal="center" vertical="center" textRotation="0" wrapText="0" indent="0" justifyLastLine="0" shrinkToFit="0" readingOrder="0"/>
      <border diagonalUp="0" diagonalDown="0">
        <left/>
        <right/>
        <top/>
        <bottom/>
        <vertical/>
        <horizontal/>
      </border>
    </dxf>
    <dxf>
      <font>
        <strike val="0"/>
        <outline val="0"/>
        <shadow val="0"/>
        <u val="none"/>
        <vertAlign val="baseline"/>
        <sz val="18"/>
        <color auto="1"/>
        <name val="Trebuchet MS"/>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8"/>
        <color auto="1"/>
        <name val="Trebuchet MS"/>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8"/>
        <color auto="1"/>
        <name val="Trebuchet MS"/>
        <family val="2"/>
        <scheme val="none"/>
      </font>
      <alignment horizontal="left" vertical="top" textRotation="0" wrapText="0" indent="0" justifyLastLine="0" shrinkToFit="0" readingOrder="0"/>
    </dxf>
    <dxf>
      <border>
        <bottom style="medium">
          <color indexed="64"/>
        </bottom>
      </border>
    </dxf>
    <dxf>
      <font>
        <strike val="0"/>
        <outline val="0"/>
        <shadow val="0"/>
        <u val="none"/>
        <vertAlign val="baseline"/>
        <sz val="18"/>
        <color auto="1"/>
        <name val="Trebuchet MS"/>
        <family val="2"/>
        <scheme val="none"/>
      </font>
      <alignment horizontal="center" vertical="center" textRotation="0" wrapText="0" indent="0" justifyLastLine="0" shrinkToFit="0" readingOrder="0"/>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border>
        <left style="medium">
          <color theme="0" tint="-0.14999847407452621"/>
        </left>
        <right style="medium">
          <color theme="0" tint="-0.14999847407452621"/>
        </right>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n">
          <color theme="0" tint="-0.24994659260841701"/>
        </left>
        <right style="thin">
          <color theme="0" tint="-0.24994659260841701"/>
        </right>
        <top style="thin">
          <color theme="0" tint="-0.24994659260841701"/>
        </top>
        <bottom style="thin">
          <color theme="0" tint="-0.24994659260841701"/>
        </bottom>
      </border>
    </dxf>
  </dxfs>
  <tableStyles count="1" defaultTableStyle="TableStyleMedium2" defaultPivotStyle="PivotStyleLight16">
    <tableStyle name="V42_List1" table="0" count="12" xr9:uid="{00000000-0011-0000-FFFF-FFFF00000000}">
      <tableStyleElement type="wholeTable" dxfId="81"/>
      <tableStyleElement type="headerRow" dxfId="80"/>
      <tableStyleElement type="totalRow" dxfId="79"/>
      <tableStyleElement type="firstRowStripe" dxfId="78"/>
      <tableStyleElement type="firstColumnStripe" dxfId="77"/>
      <tableStyleElement type="firstSubtotalColumn" dxfId="76"/>
      <tableStyleElement type="firstSubtotalRow" dxfId="75"/>
      <tableStyleElement type="secondSubtotalRow" dxfId="74"/>
      <tableStyleElement type="firstRowSubheading" dxfId="73"/>
      <tableStyleElement type="secondRowSubheading" dxfId="72"/>
      <tableStyleElement type="pageFieldLabels" dxfId="71"/>
      <tableStyleElement type="pageFieldValues" dxfId="7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99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E9E4"/>
      <rgbColor rgb="00E4EFF3"/>
      <rgbColor rgb="001849B5"/>
      <rgbColor rgb="0036ACA2"/>
      <rgbColor rgb="00F0BA00"/>
      <rgbColor rgb="00BCD5E1"/>
      <rgbColor rgb="0083B3C9"/>
      <rgbColor rgb="00346378"/>
      <rgbColor rgb="0087533B"/>
      <rgbColor rgb="00C0C0C0"/>
      <rgbColor rgb="00003366"/>
      <rgbColor rgb="00109618"/>
      <rgbColor rgb="00085108"/>
      <rgbColor rgb="00635100"/>
      <rgbColor rgb="0023414F"/>
      <rgbColor rgb="00E1C8BC"/>
      <rgbColor rgb="00593727"/>
      <rgbColor rgb="00333333"/>
    </indexedColors>
    <mruColors>
      <color rgb="FF0000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[Working Draft Testing Macros.xlsm]Hours Spent by Category!PivotTable2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Hours Spent by Broad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'Hours Spent by Category'!$B$6</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FEB5-48D1-961C-DB82D156F2B4}"/>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0-FEB5-48D1-961C-DB82D156F2B4}"/>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2-FEB5-48D1-961C-DB82D156F2B4}"/>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4-FEB5-48D1-961C-DB82D156F2B4}"/>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6-FEB5-48D1-961C-DB82D156F2B4}"/>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AB33-4B6C-B977-771B8C3565E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'Hours Spent by Category'!$A$7:$A$12</c:f>
              <c:strCache>
                <c:ptCount val="6"/>
                <c:pt idx="0">
                  <c:v>Personal Development</c:v>
                </c:pt>
                <c:pt idx="1">
                  <c:v>Physical Health</c:v>
                </c:pt>
                <c:pt idx="2">
                  <c:v>Distractions</c:v>
                </c:pt>
                <c:pt idx="3">
                  <c:v>Mental Health - Social</c:v>
                </c:pt>
                <c:pt idx="4">
                  <c:v>Driving</c:v>
                </c:pt>
                <c:pt idx="5">
                  <c:v>Sleeping</c:v>
                </c:pt>
              </c:strCache>
            </c:strRef>
          </c:cat>
          <c:val>
            <c:numRef>
              <c:f>'Hours Spent by Category'!$B$7:$B$12</c:f>
              <c:numCache>
                <c:formatCode>General</c:formatCode>
                <c:ptCount val="6"/>
                <c:pt idx="0">
                  <c:v>55.900000000000006</c:v>
                </c:pt>
                <c:pt idx="1">
                  <c:v>5.75</c:v>
                </c:pt>
                <c:pt idx="2">
                  <c:v>12</c:v>
                </c:pt>
                <c:pt idx="3">
                  <c:v>18</c:v>
                </c:pt>
                <c:pt idx="4">
                  <c:v>14</c:v>
                </c:pt>
                <c:pt idx="5">
                  <c:v>72</c:v>
                </c:pt>
              </c:numCache>
            </c:numRef>
          </c:val>
          <c:extLst>
            <c:ext xmlns:c16="http://schemas.microsoft.com/office/drawing/2014/chart" uri="{C3380CC4-5D6E-409C-BE32-E72D297353CC}">
              <c16:uniqueId val="{00000017-FEB5-48D1-961C-DB82D156F2B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[Working Draft Testing Macros.xlsm]Hours Spent by Tasks!PivotTable2</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Hours Spent by Tasks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'Hours Spent by Tasks'!$B$6</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EDF6-4659-A62E-9A04649F26E8}"/>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EDF6-4659-A62E-9A04649F26E8}"/>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EDF6-4659-A62E-9A04649F26E8}"/>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EDF6-4659-A62E-9A04649F26E8}"/>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EDF6-4659-A62E-9A04649F26E8}"/>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EDF6-4659-A62E-9A04649F26E8}"/>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EDF6-4659-A62E-9A04649F26E8}"/>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EDF6-4659-A62E-9A04649F26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'Hours Spent by Tasks'!$A$7:$A$14</c:f>
              <c:strCache>
                <c:ptCount val="8"/>
                <c:pt idx="0">
                  <c:v>Actually Sleeping</c:v>
                </c:pt>
                <c:pt idx="1">
                  <c:v>Exercise</c:v>
                </c:pt>
                <c:pt idx="2">
                  <c:v>Hygeine</c:v>
                </c:pt>
                <c:pt idx="3">
                  <c:v>Inner Circle 1</c:v>
                </c:pt>
                <c:pt idx="4">
                  <c:v>Cuddling w/GF</c:v>
                </c:pt>
                <c:pt idx="5">
                  <c:v>Driving - Personal</c:v>
                </c:pt>
                <c:pt idx="6">
                  <c:v>PD - Planning</c:v>
                </c:pt>
                <c:pt idx="7">
                  <c:v>PD - Productivity &amp; Flow</c:v>
                </c:pt>
              </c:strCache>
            </c:strRef>
          </c:cat>
          <c:val>
            <c:numRef>
              <c:f>'Hours Spent by Tasks'!$B$7:$B$14</c:f>
              <c:numCache>
                <c:formatCode>General</c:formatCode>
                <c:ptCount val="8"/>
                <c:pt idx="0">
                  <c:v>39</c:v>
                </c:pt>
                <c:pt idx="1">
                  <c:v>2.75</c:v>
                </c:pt>
                <c:pt idx="2">
                  <c:v>1</c:v>
                </c:pt>
                <c:pt idx="3">
                  <c:v>12</c:v>
                </c:pt>
                <c:pt idx="4">
                  <c:v>8</c:v>
                </c:pt>
                <c:pt idx="5">
                  <c:v>8</c:v>
                </c:pt>
                <c:pt idx="6">
                  <c:v>5.6</c:v>
                </c:pt>
                <c:pt idx="7">
                  <c:v>24</c:v>
                </c:pt>
              </c:numCache>
            </c:numRef>
          </c:val>
          <c:extLst>
            <c:ext xmlns:c16="http://schemas.microsoft.com/office/drawing/2014/chart" uri="{C3380CC4-5D6E-409C-BE32-E72D297353CC}">
              <c16:uniqueId val="{00000013-EDD9-4064-B72E-497E86F3BCA0}"/>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[Working Draft Testing Macros.xlsm]Hours Spent by Days!PivotTable2</c:name>
    <c:fmtId val="2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Productivity This Week</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029613466059619E-2"/>
          <c:y val="0.17636023647725241"/>
          <c:w val="0.70886750824523725"/>
          <c:h val="0.72802681250828605"/>
        </c:manualLayout>
      </c:layout>
      <c:barChart>
        <c:barDir val="col"/>
        <c:grouping val="stacked"/>
        <c:varyColors val="0"/>
        <c:ser>
          <c:idx val="0"/>
          <c:order val="0"/>
          <c:tx>
            <c:strRef>
              <c:f>'Hours Spent by Days'!$C$6:$C$7</c:f>
              <c:strCache>
                <c:ptCount val="1"/>
                <c:pt idx="0">
                  <c:v>Productive Hours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'Hours Spent by Days'!$A$8:$B$13</c:f>
              <c:strCache>
                <c:ptCount val="6"/>
                <c:pt idx="0">
                  <c:v>15-Mar</c:v>
                </c:pt>
                <c:pt idx="1">
                  <c:v>16-Mar</c:v>
                </c:pt>
                <c:pt idx="2">
                  <c:v>17-Mar</c:v>
                </c:pt>
                <c:pt idx="3">
                  <c:v>18-Mar</c:v>
                </c:pt>
                <c:pt idx="4">
                  <c:v>19-Mar</c:v>
                </c:pt>
                <c:pt idx="5">
                  <c:v>20-Mar</c:v>
                </c:pt>
              </c:strCache>
            </c:strRef>
          </c:cat>
          <c:val>
            <c:numRef>
              <c:f>'Hours Spent by Days'!$C$8:$C$13</c:f>
              <c:numCache>
                <c:formatCode>0.00%</c:formatCode>
                <c:ptCount val="6"/>
                <c:pt idx="0">
                  <c:v>0.68235294117647061</c:v>
                </c:pt>
                <c:pt idx="1">
                  <c:v>0.68604651162790697</c:v>
                </c:pt>
                <c:pt idx="2">
                  <c:v>0.68604651162790697</c:v>
                </c:pt>
                <c:pt idx="3">
                  <c:v>0.5178571428571429</c:v>
                </c:pt>
                <c:pt idx="4">
                  <c:v>1</c:v>
                </c:pt>
                <c:pt idx="5">
                  <c:v>0.92366412213740456</c:v>
                </c:pt>
              </c:numCache>
            </c:numRef>
          </c:val>
          <c:extLst>
            <c:ext xmlns:c16="http://schemas.microsoft.com/office/drawing/2014/chart" uri="{C3380CC4-5D6E-409C-BE32-E72D297353CC}">
              <c16:uniqueId val="{00000012-1EBD-4D3B-9674-642DEDF19B44}"/>
            </c:ext>
          </c:extLst>
        </c:ser>
        <c:ser>
          <c:idx val="1"/>
          <c:order val="1"/>
          <c:tx>
            <c:strRef>
              <c:f>'Hours Spent by Days'!$D$6:$D$7</c:f>
              <c:strCache>
                <c:ptCount val="1"/>
                <c:pt idx="0">
                  <c:v>Wasted Hours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'Hours Spent by Days'!$A$8:$B$13</c:f>
              <c:strCache>
                <c:ptCount val="6"/>
                <c:pt idx="0">
                  <c:v>15-Mar</c:v>
                </c:pt>
                <c:pt idx="1">
                  <c:v>16-Mar</c:v>
                </c:pt>
                <c:pt idx="2">
                  <c:v>17-Mar</c:v>
                </c:pt>
                <c:pt idx="3">
                  <c:v>18-Mar</c:v>
                </c:pt>
                <c:pt idx="4">
                  <c:v>19-Mar</c:v>
                </c:pt>
                <c:pt idx="5">
                  <c:v>20-Mar</c:v>
                </c:pt>
              </c:strCache>
            </c:strRef>
          </c:cat>
          <c:val>
            <c:numRef>
              <c:f>'Hours Spent by Days'!$D$8:$D$13</c:f>
              <c:numCache>
                <c:formatCode>0.00%</c:formatCode>
                <c:ptCount val="6"/>
                <c:pt idx="0">
                  <c:v>0.31764705882352939</c:v>
                </c:pt>
                <c:pt idx="1">
                  <c:v>0.31395348837209303</c:v>
                </c:pt>
                <c:pt idx="2">
                  <c:v>0.31395348837209303</c:v>
                </c:pt>
                <c:pt idx="3">
                  <c:v>0.48214285714285715</c:v>
                </c:pt>
                <c:pt idx="4">
                  <c:v>0</c:v>
                </c:pt>
                <c:pt idx="5">
                  <c:v>7.6335877862595422E-2</c:v>
                </c:pt>
              </c:numCache>
            </c:numRef>
          </c:val>
          <c:extLst>
            <c:ext xmlns:c16="http://schemas.microsoft.com/office/drawing/2014/chart" uri="{C3380CC4-5D6E-409C-BE32-E72D297353CC}">
              <c16:uniqueId val="{00000013-1EBD-4D3B-9674-642DEDF19B44}"/>
            </c:ext>
          </c:extLst>
        </c:ser>
        <c:dLbls>
          <c:dLblPos val="ctr"/>
          <c:showLegendKey val="0"/>
          <c:showVal val="1"/>
          <c:showCatName val="0"/>
          <c:showSerName val="0"/>
          <c:showPercent val="0"/>
          <c:showBubbleSize val="0"/>
        </c:dLbls>
        <c:gapWidth val="150"/>
        <c:overlap val="100"/>
        <c:axId val="844680416"/>
        <c:axId val="844678336"/>
      </c:barChart>
      <c:catAx>
        <c:axId val="8446804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4678336"/>
        <c:crosses val="autoZero"/>
        <c:auto val="1"/>
        <c:lblAlgn val="ctr"/>
        <c:lblOffset val="100"/>
        <c:noMultiLvlLbl val="0"/>
      </c:catAx>
      <c:valAx>
        <c:axId val="84467833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Hours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4680416"/>
        <c:crosses val="autoZero"/>
        <c:crossBetween val="between"/>
      </c:valAx>
      <c:spPr>
        <a:noFill/>
        <a:ln>
          <a:noFill/>
        </a:ln>
        <a:effectLst/>
      </c:spPr>
    </c:plotArea>
    <c:legend>
      <c:legendPos val="r"/>
      <c:layout>
        <c:manualLayout>
          <c:xMode val="edge"/>
          <c:yMode val="edge"/>
          <c:x val="0.78557437825502496"/>
          <c:y val="0.20550744976572216"/>
          <c:w val="7.6679740245424302E-2"/>
          <c:h val="0.30970711184046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586740</xdr:colOff>
          <xdr:row>1</xdr:row>
          <xdr:rowOff>76200</xdr:rowOff>
        </xdr:from>
        <xdr:to>
          <xdr:col>5</xdr:col>
          <xdr:colOff>594360</xdr:colOff>
          <xdr:row>12</xdr:row>
          <xdr:rowOff>22860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000" b="0" i="0" u="none" strike="noStrike" baseline="0">
                  <a:solidFill>
                    <a:srgbClr val="000000"/>
                  </a:solidFill>
                  <a:latin typeface="Trebuchet MS"/>
                </a:rPr>
                <a:t>Start New Recording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1</xdr:row>
          <xdr:rowOff>106680</xdr:rowOff>
        </xdr:from>
        <xdr:to>
          <xdr:col>13</xdr:col>
          <xdr:colOff>38100</xdr:colOff>
          <xdr:row>12</xdr:row>
          <xdr:rowOff>83820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000" b="0" i="0" u="none" strike="noStrike" baseline="0">
                  <a:solidFill>
                    <a:srgbClr val="000000"/>
                  </a:solidFill>
                  <a:latin typeface="Trebuchet MS"/>
                </a:rPr>
                <a:t>End Current Recording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30480</xdr:colOff>
          <xdr:row>1</xdr:row>
          <xdr:rowOff>129540</xdr:rowOff>
        </xdr:from>
        <xdr:to>
          <xdr:col>20</xdr:col>
          <xdr:colOff>38100</xdr:colOff>
          <xdr:row>12</xdr:row>
          <xdr:rowOff>106680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000" b="0" i="0" u="none" strike="noStrike" baseline="0">
                  <a:solidFill>
                    <a:srgbClr val="000000"/>
                  </a:solidFill>
                  <a:latin typeface="Trebuchet MS"/>
                </a:rPr>
                <a:t>Delete Last 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548640</xdr:colOff>
          <xdr:row>15</xdr:row>
          <xdr:rowOff>129540</xdr:rowOff>
        </xdr:from>
        <xdr:to>
          <xdr:col>5</xdr:col>
          <xdr:colOff>556260</xdr:colOff>
          <xdr:row>26</xdr:row>
          <xdr:rowOff>76200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000-00000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000" b="0" i="0" u="none" strike="noStrike" baseline="0">
                  <a:solidFill>
                    <a:srgbClr val="000000"/>
                  </a:solidFill>
                  <a:latin typeface="Trebuchet MS"/>
                </a:rPr>
                <a:t>Edit Last Activity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502920</xdr:colOff>
          <xdr:row>15</xdr:row>
          <xdr:rowOff>83820</xdr:rowOff>
        </xdr:from>
        <xdr:to>
          <xdr:col>12</xdr:col>
          <xdr:colOff>510540</xdr:colOff>
          <xdr:row>26</xdr:row>
          <xdr:rowOff>30480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000-00000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000" b="0" i="0" u="none" strike="noStrike" baseline="0">
                  <a:solidFill>
                    <a:srgbClr val="000000"/>
                  </a:solidFill>
                  <a:latin typeface="Trebuchet MS"/>
                </a:rPr>
                <a:t>Add Completed Recording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275407</xdr:colOff>
      <xdr:row>32</xdr:row>
      <xdr:rowOff>155666</xdr:rowOff>
    </xdr:from>
    <xdr:to>
      <xdr:col>11</xdr:col>
      <xdr:colOff>1191549</xdr:colOff>
      <xdr:row>64</xdr:row>
      <xdr:rowOff>12846</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1219198</xdr:colOff>
      <xdr:row>32</xdr:row>
      <xdr:rowOff>153744</xdr:rowOff>
    </xdr:from>
    <xdr:to>
      <xdr:col>24</xdr:col>
      <xdr:colOff>252111</xdr:colOff>
      <xdr:row>64</xdr:row>
      <xdr:rowOff>10924</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293915</xdr:colOff>
      <xdr:row>1</xdr:row>
      <xdr:rowOff>32656</xdr:rowOff>
    </xdr:from>
    <xdr:to>
      <xdr:col>24</xdr:col>
      <xdr:colOff>239487</xdr:colOff>
      <xdr:row>32</xdr:row>
      <xdr:rowOff>76200</xdr:rowOff>
    </xdr:to>
    <xdr:graphicFrame macro="">
      <xdr:nvGraphicFramePr>
        <xdr:cNvPr id="5" name="Chart 4">
          <a:extLst>
            <a:ext uri="{FF2B5EF4-FFF2-40B4-BE49-F238E27FC236}">
              <a16:creationId xmlns:a16="http://schemas.microsoft.com/office/drawing/2014/main" id="{1BC3B037-70A9-4D14-84A5-253424FE85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573676</xdr:colOff>
      <xdr:row>12</xdr:row>
      <xdr:rowOff>38099</xdr:rowOff>
    </xdr:from>
    <xdr:to>
      <xdr:col>21</xdr:col>
      <xdr:colOff>228599</xdr:colOff>
      <xdr:row>27</xdr:row>
      <xdr:rowOff>15240</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3641976" y="2369819"/>
          <a:ext cx="4501243" cy="3070861"/>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Adding Rows to the Table:</a:t>
          </a:r>
        </a:p>
        <a:p>
          <a:pPr algn="l"/>
          <a:endParaRPr lang="en-US" sz="1100">
            <a:solidFill>
              <a:sysClr val="windowText" lastClr="000000"/>
            </a:solidFill>
          </a:endParaRPr>
        </a:p>
        <a:p>
          <a:pPr algn="l"/>
          <a:r>
            <a:rPr lang="en-US" sz="1100">
              <a:solidFill>
                <a:sysClr val="windowText" lastClr="000000"/>
              </a:solidFill>
            </a:rPr>
            <a:t>There are many ways to add new rows to the table. Right-click in the table to bring up Insert options. You can also drag the bottom-right corner of the table down using your mouse. You can also press CTRL+"+" to insert a row.</a:t>
          </a:r>
        </a:p>
        <a:p>
          <a:pPr algn="l"/>
          <a:endParaRPr lang="en-US" sz="1100">
            <a:solidFill>
              <a:sysClr val="windowText" lastClr="000000"/>
            </a:solidFill>
          </a:endParaRPr>
        </a:p>
        <a:p>
          <a:pPr algn="l"/>
          <a:r>
            <a:rPr lang="en-US" sz="1100">
              <a:solidFill>
                <a:sysClr val="windowText" lastClr="000000"/>
              </a:solidFill>
            </a:rPr>
            <a:t>Enter Time in Minutes:</a:t>
          </a:r>
        </a:p>
        <a:p>
          <a:pPr algn="l"/>
          <a:r>
            <a:rPr lang="en-US" sz="1100">
              <a:solidFill>
                <a:sysClr val="windowText" lastClr="000000"/>
              </a:solidFill>
            </a:rPr>
            <a:t>If you want the option of entering minutes worked rather than the Start and End times, unhide column H.</a:t>
          </a:r>
        </a:p>
        <a:p>
          <a:pPr algn="l"/>
          <a:endParaRPr lang="en-US" sz="1100">
            <a:solidFill>
              <a:sysClr val="windowText" lastClr="000000"/>
            </a:solidFill>
          </a:endParaRPr>
        </a:p>
        <a:p>
          <a:pPr algn="l"/>
          <a:r>
            <a:rPr lang="en-US" sz="1100">
              <a:solidFill>
                <a:sysClr val="windowText" lastClr="000000"/>
              </a:solidFill>
            </a:rPr>
            <a:t>Cell Comments:</a:t>
          </a:r>
        </a:p>
        <a:p>
          <a:pPr algn="l"/>
          <a:r>
            <a:rPr lang="en-US" sz="1100">
              <a:solidFill>
                <a:sysClr val="windowText" lastClr="000000"/>
              </a:solidFill>
            </a:rPr>
            <a:t>See the cell comments marked with a little red triangle for additional tips and information about specific parts of this worksheet.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8</xdr:col>
      <xdr:colOff>22860</xdr:colOff>
      <xdr:row>8</xdr:row>
      <xdr:rowOff>167640</xdr:rowOff>
    </xdr:to>
    <mc:AlternateContent xmlns:mc="http://schemas.openxmlformats.org/markup-compatibility/2006" xmlns:a14="http://schemas.microsoft.com/office/drawing/2010/main">
      <mc:Choice Requires="a14">
        <xdr:graphicFrame macro="">
          <xdr:nvGraphicFramePr>
            <xdr:cNvPr id="2" name="Current Period">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Current Period"/>
            </a:graphicData>
          </a:graphic>
        </xdr:graphicFrame>
      </mc:Choice>
      <mc:Fallback xmlns="">
        <xdr:sp macro="" textlink="">
          <xdr:nvSpPr>
            <xdr:cNvPr id="0" name=""/>
            <xdr:cNvSpPr>
              <a:spLocks noTextEdit="1"/>
            </xdr:cNvSpPr>
          </xdr:nvSpPr>
          <xdr:spPr>
            <a:xfrm>
              <a:off x="4200525" y="485775"/>
              <a:ext cx="1447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10</xdr:col>
      <xdr:colOff>594360</xdr:colOff>
      <xdr:row>0</xdr:row>
      <xdr:rowOff>243840</xdr:rowOff>
    </xdr:from>
    <xdr:to>
      <xdr:col>14</xdr:col>
      <xdr:colOff>434340</xdr:colOff>
      <xdr:row>24</xdr:row>
      <xdr:rowOff>30479</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859780" y="243840"/>
          <a:ext cx="2278380" cy="4312919"/>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Instructions:</a:t>
          </a:r>
        </a:p>
        <a:p>
          <a:pPr algn="l"/>
          <a:endParaRPr lang="en-US" sz="1100">
            <a:solidFill>
              <a:sysClr val="windowText" lastClr="000000"/>
            </a:solidFill>
          </a:endParaRPr>
        </a:p>
        <a:p>
          <a:pPr algn="l"/>
          <a:r>
            <a:rPr lang="en-US" sz="1100">
              <a:solidFill>
                <a:sysClr val="windowText" lastClr="000000"/>
              </a:solidFill>
            </a:rPr>
            <a:t>This worksheet uses a Pivot Table to calculate total hours from the TimeLog worksheet, grouped by Project ID and Task ID.</a:t>
          </a:r>
        </a:p>
        <a:p>
          <a:pPr algn="l"/>
          <a:endParaRPr lang="en-US" sz="1100">
            <a:solidFill>
              <a:sysClr val="windowText" lastClr="000000"/>
            </a:solidFill>
          </a:endParaRPr>
        </a:p>
        <a:p>
          <a:pPr algn="l"/>
          <a:r>
            <a:rPr lang="en-US" sz="1100">
              <a:solidFill>
                <a:sysClr val="windowText" lastClr="000000"/>
              </a:solidFill>
            </a:rPr>
            <a:t>Current Period:</a:t>
          </a:r>
        </a:p>
        <a:p>
          <a:pPr algn="l"/>
          <a:r>
            <a:rPr lang="en-US" sz="1100">
              <a:solidFill>
                <a:sysClr val="windowText" lastClr="000000"/>
              </a:solidFill>
            </a:rPr>
            <a:t>Select "yes" via the filter or slicer to include only entries for the period defined at the top of the TimeLog worksheet.</a:t>
          </a:r>
        </a:p>
        <a:p>
          <a:pPr algn="l"/>
          <a:endParaRPr lang="en-US" sz="1100">
            <a:solidFill>
              <a:sysClr val="windowText" lastClr="000000"/>
            </a:solidFill>
          </a:endParaRPr>
        </a:p>
        <a:p>
          <a:pPr algn="l"/>
          <a:r>
            <a:rPr lang="en-US" sz="1100">
              <a:solidFill>
                <a:sysClr val="windowText" lastClr="000000"/>
              </a:solidFill>
            </a:rPr>
            <a:t>Billed:</a:t>
          </a:r>
          <a:br>
            <a:rPr lang="en-US" sz="1100">
              <a:solidFill>
                <a:sysClr val="windowText" lastClr="000000"/>
              </a:solidFill>
            </a:rPr>
          </a:br>
          <a:r>
            <a:rPr lang="en-US" sz="1100">
              <a:solidFill>
                <a:sysClr val="windowText" lastClr="000000"/>
              </a:solidFill>
            </a:rPr>
            <a:t>Use the filter and slicer to calculate totals for billed (x) or unbilled (blank) entries from the time log.</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4</xdr:col>
      <xdr:colOff>1447800</xdr:colOff>
      <xdr:row>8</xdr:row>
      <xdr:rowOff>167640</xdr:rowOff>
    </xdr:to>
    <mc:AlternateContent xmlns:mc="http://schemas.openxmlformats.org/markup-compatibility/2006" xmlns:a14="http://schemas.microsoft.com/office/drawing/2010/main">
      <mc:Choice Requires="a14">
        <xdr:graphicFrame macro="">
          <xdr:nvGraphicFramePr>
            <xdr:cNvPr id="2" name="Current Period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urrent Period 1"/>
            </a:graphicData>
          </a:graphic>
        </xdr:graphicFrame>
      </mc:Choice>
      <mc:Fallback xmlns="">
        <xdr:sp macro="" textlink="">
          <xdr:nvSpPr>
            <xdr:cNvPr id="0" name=""/>
            <xdr:cNvSpPr>
              <a:spLocks noTextEdit="1"/>
            </xdr:cNvSpPr>
          </xdr:nvSpPr>
          <xdr:spPr>
            <a:xfrm>
              <a:off x="3246120" y="480060"/>
              <a:ext cx="1447800" cy="12877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236220</xdr:colOff>
      <xdr:row>0</xdr:row>
      <xdr:rowOff>15241</xdr:rowOff>
    </xdr:from>
    <xdr:to>
      <xdr:col>7</xdr:col>
      <xdr:colOff>2255520</xdr:colOff>
      <xdr:row>20</xdr:row>
      <xdr:rowOff>22861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6941820" y="15241"/>
          <a:ext cx="2019300" cy="3787140"/>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Instructions:</a:t>
          </a:r>
        </a:p>
        <a:p>
          <a:pPr algn="l"/>
          <a:endParaRPr lang="en-US" sz="1100">
            <a:solidFill>
              <a:sysClr val="windowText" lastClr="000000"/>
            </a:solidFill>
          </a:endParaRPr>
        </a:p>
        <a:p>
          <a:pPr algn="l"/>
          <a:r>
            <a:rPr lang="en-US" sz="1100">
              <a:solidFill>
                <a:sysClr val="windowText" lastClr="000000"/>
              </a:solidFill>
            </a:rPr>
            <a:t>This worksheet uses a Pivot Table to calculate total hours from the TimeLog worksheet, grouped by Project ID and Task ID.</a:t>
          </a:r>
        </a:p>
        <a:p>
          <a:pPr algn="l"/>
          <a:endParaRPr lang="en-US" sz="1100">
            <a:solidFill>
              <a:sysClr val="windowText" lastClr="000000"/>
            </a:solidFill>
          </a:endParaRPr>
        </a:p>
        <a:p>
          <a:pPr algn="l"/>
          <a:r>
            <a:rPr lang="en-US" sz="1100">
              <a:solidFill>
                <a:sysClr val="windowText" lastClr="000000"/>
              </a:solidFill>
            </a:rPr>
            <a:t>Current Period:</a:t>
          </a:r>
        </a:p>
        <a:p>
          <a:pPr algn="l"/>
          <a:r>
            <a:rPr lang="en-US" sz="1100">
              <a:solidFill>
                <a:sysClr val="windowText" lastClr="000000"/>
              </a:solidFill>
            </a:rPr>
            <a:t>Select "yes" via the filter or slicer to include only entries for the period defined at the top of the TimeLog worksheet.</a:t>
          </a:r>
        </a:p>
        <a:p>
          <a:pPr algn="l"/>
          <a:endParaRPr lang="en-US" sz="1100">
            <a:solidFill>
              <a:sysClr val="windowText" lastClr="000000"/>
            </a:solidFill>
          </a:endParaRPr>
        </a:p>
        <a:p>
          <a:pPr algn="l"/>
          <a:r>
            <a:rPr lang="en-US" sz="1100">
              <a:solidFill>
                <a:sysClr val="windowText" lastClr="000000"/>
              </a:solidFill>
            </a:rPr>
            <a:t>Billed:</a:t>
          </a:r>
          <a:br>
            <a:rPr lang="en-US" sz="1100">
              <a:solidFill>
                <a:sysClr val="windowText" lastClr="000000"/>
              </a:solidFill>
            </a:rPr>
          </a:br>
          <a:r>
            <a:rPr lang="en-US" sz="1100">
              <a:solidFill>
                <a:sysClr val="windowText" lastClr="000000"/>
              </a:solidFill>
            </a:rPr>
            <a:t>Use the filter and slicer to calculate totals for billed (x) or unbilled (blank) entries from the time log.</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114300</xdr:colOff>
      <xdr:row>0</xdr:row>
      <xdr:rowOff>251461</xdr:rowOff>
    </xdr:from>
    <xdr:to>
      <xdr:col>12</xdr:col>
      <xdr:colOff>236220</xdr:colOff>
      <xdr:row>21</xdr:row>
      <xdr:rowOff>76201</xdr:rowOff>
    </xdr:to>
    <xdr:sp macro="" textlink="">
      <xdr:nvSpPr>
        <xdr:cNvPr id="3" name="Rectangle 2">
          <a:extLst>
            <a:ext uri="{FF2B5EF4-FFF2-40B4-BE49-F238E27FC236}">
              <a16:creationId xmlns:a16="http://schemas.microsoft.com/office/drawing/2014/main" id="{554F06C0-DCA1-4334-9034-0E58CA4CED88}"/>
            </a:ext>
          </a:extLst>
        </xdr:cNvPr>
        <xdr:cNvSpPr/>
      </xdr:nvSpPr>
      <xdr:spPr>
        <a:xfrm>
          <a:off x="7239000" y="251461"/>
          <a:ext cx="1341120" cy="3787140"/>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Instructions:</a:t>
          </a:r>
        </a:p>
        <a:p>
          <a:pPr algn="l"/>
          <a:endParaRPr lang="en-US" sz="1100">
            <a:solidFill>
              <a:sysClr val="windowText" lastClr="000000"/>
            </a:solidFill>
          </a:endParaRPr>
        </a:p>
        <a:p>
          <a:pPr algn="l"/>
          <a:r>
            <a:rPr lang="en-US" sz="1100">
              <a:solidFill>
                <a:sysClr val="windowText" lastClr="000000"/>
              </a:solidFill>
            </a:rPr>
            <a:t>This worksheet uses a Pivot Table to calculate total hours from the TimeLog worksheet, grouped by Project ID and Task ID.</a:t>
          </a:r>
        </a:p>
        <a:p>
          <a:pPr algn="l"/>
          <a:endParaRPr lang="en-US" sz="1100">
            <a:solidFill>
              <a:sysClr val="windowText" lastClr="000000"/>
            </a:solidFill>
          </a:endParaRPr>
        </a:p>
        <a:p>
          <a:pPr algn="l"/>
          <a:r>
            <a:rPr lang="en-US" sz="1100">
              <a:solidFill>
                <a:sysClr val="windowText" lastClr="000000"/>
              </a:solidFill>
            </a:rPr>
            <a:t>Current Period:</a:t>
          </a:r>
        </a:p>
        <a:p>
          <a:pPr algn="l"/>
          <a:r>
            <a:rPr lang="en-US" sz="1100">
              <a:solidFill>
                <a:sysClr val="windowText" lastClr="000000"/>
              </a:solidFill>
            </a:rPr>
            <a:t>Select "yes" via the filter or slicer to include only entries for the period defined at the top of the TimeLog worksheet.</a:t>
          </a:r>
        </a:p>
        <a:p>
          <a:pPr algn="l"/>
          <a:endParaRPr lang="en-US" sz="1100">
            <a:solidFill>
              <a:sysClr val="windowText" lastClr="000000"/>
            </a:solidFill>
          </a:endParaRPr>
        </a:p>
        <a:p>
          <a:pPr algn="l"/>
          <a:r>
            <a:rPr lang="en-US" sz="1100">
              <a:solidFill>
                <a:sysClr val="windowText" lastClr="000000"/>
              </a:solidFill>
            </a:rPr>
            <a:t>Billed:</a:t>
          </a:r>
          <a:br>
            <a:rPr lang="en-US" sz="1100">
              <a:solidFill>
                <a:sysClr val="windowText" lastClr="000000"/>
              </a:solidFill>
            </a:rPr>
          </a:br>
          <a:r>
            <a:rPr lang="en-US" sz="1100">
              <a:solidFill>
                <a:sysClr val="windowText" lastClr="000000"/>
              </a:solidFill>
            </a:rPr>
            <a:t>Use the filter and slicer to calculate totals for billed (x) or unbilled (blank) entries from the time log.</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215153</xdr:colOff>
      <xdr:row>0</xdr:row>
      <xdr:rowOff>143434</xdr:rowOff>
    </xdr:from>
    <xdr:to>
      <xdr:col>18</xdr:col>
      <xdr:colOff>170330</xdr:colOff>
      <xdr:row>15</xdr:row>
      <xdr:rowOff>17929</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10694894" y="143434"/>
          <a:ext cx="4975412" cy="2653554"/>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Development Notes:</a:t>
          </a:r>
        </a:p>
        <a:p>
          <a:pPr algn="l"/>
          <a:endParaRPr lang="en-US" sz="1100">
            <a:solidFill>
              <a:sysClr val="windowText" lastClr="000000"/>
            </a:solidFill>
          </a:endParaRPr>
        </a:p>
        <a:p>
          <a:pPr algn="l"/>
          <a:r>
            <a:rPr lang="en-US" sz="1100">
              <a:solidFill>
                <a:sysClr val="windowText" lastClr="000000"/>
              </a:solidFill>
            </a:rPr>
            <a:t>The Project ID and Task ID will be a one to many relationship. Meaning there can be multiple projects IDs assigned to different task IDs; but, there can only be 1 task ID assigned to a project ID.</a:t>
          </a:r>
        </a:p>
        <a:p>
          <a:pPr algn="l"/>
          <a:endParaRPr lang="en-US" sz="1100">
            <a:solidFill>
              <a:sysClr val="windowText" lastClr="000000"/>
            </a:solidFill>
          </a:endParaRPr>
        </a:p>
        <a:p>
          <a:pPr algn="l"/>
          <a:r>
            <a:rPr lang="en-US" sz="1100">
              <a:solidFill>
                <a:sysClr val="windowText" lastClr="000000"/>
              </a:solidFill>
            </a:rPr>
            <a:t>Task ID will be used as a list</a:t>
          </a:r>
          <a:r>
            <a:rPr lang="en-US" sz="1100" baseline="0">
              <a:solidFill>
                <a:sysClr val="windowText" lastClr="000000"/>
              </a:solidFill>
            </a:rPr>
            <a:t> on TimeLog tab. Vlookup will reference Task ID to auto populate with Project ID</a:t>
          </a:r>
        </a:p>
        <a:p>
          <a:pPr algn="l"/>
          <a:endParaRPr lang="en-US" sz="1100">
            <a:solidFill>
              <a:sysClr val="windowText" lastClr="000000"/>
            </a:solidFill>
          </a:endParaRPr>
        </a:p>
      </xdr:txBody>
    </xdr:sp>
    <xdr:clientData/>
  </xdr:twoCellAnchor>
  <xdr:twoCellAnchor>
    <xdr:from>
      <xdr:col>5</xdr:col>
      <xdr:colOff>116542</xdr:colOff>
      <xdr:row>0</xdr:row>
      <xdr:rowOff>134472</xdr:rowOff>
    </xdr:from>
    <xdr:to>
      <xdr:col>9</xdr:col>
      <xdr:colOff>1658471</xdr:colOff>
      <xdr:row>14</xdr:row>
      <xdr:rowOff>161365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4867836" y="134472"/>
          <a:ext cx="5576047" cy="2626658"/>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Instructions:</a:t>
          </a:r>
        </a:p>
        <a:p>
          <a:pPr algn="l"/>
          <a:endParaRPr lang="en-US" sz="1100">
            <a:solidFill>
              <a:sysClr val="windowText" lastClr="000000"/>
            </a:solidFill>
          </a:endParaRPr>
        </a:p>
        <a:p>
          <a:pPr algn="l"/>
          <a:r>
            <a:rPr lang="en-US" sz="1100">
              <a:solidFill>
                <a:sysClr val="windowText" lastClr="000000"/>
              </a:solidFill>
            </a:rPr>
            <a:t>This worksheet defines the list items used for the Project ID and Task ID drop-down lists in the TimeLog worksheet.</a:t>
          </a:r>
        </a:p>
        <a:p>
          <a:pPr algn="l"/>
          <a:endParaRPr lang="en-US" sz="1100">
            <a:solidFill>
              <a:sysClr val="windowText" lastClr="000000"/>
            </a:solidFill>
          </a:endParaRPr>
        </a:p>
        <a:p>
          <a:pPr algn="l"/>
          <a:r>
            <a:rPr lang="en-US" sz="1100">
              <a:solidFill>
                <a:sysClr val="windowText" lastClr="000000"/>
              </a:solidFill>
            </a:rPr>
            <a:t>Edit the Projects and Tasks table (columns A:C) and sort by Project ID and Task ID. Enter an "x" in the Active column if you want the project/task to show in the drop-down lists.</a:t>
          </a:r>
        </a:p>
        <a:p>
          <a:pPr algn="l"/>
          <a:endParaRPr lang="en-US" sz="1100">
            <a:solidFill>
              <a:sysClr val="windowText" lastClr="000000"/>
            </a:solidFill>
          </a:endParaRPr>
        </a:p>
        <a:p>
          <a:pPr algn="l"/>
          <a:r>
            <a:rPr lang="en-US" sz="1100">
              <a:solidFill>
                <a:sysClr val="windowText" lastClr="000000"/>
              </a:solidFill>
            </a:rPr>
            <a:t>Each time you make changes to the Projects and Tasks table, update the two Pivot Tables on the right by going to Data &gt; Refresh All, or press CTRL+ALT+F5.</a:t>
          </a:r>
        </a:p>
        <a:p>
          <a:pPr algn="l"/>
          <a:endParaRPr lang="en-US" sz="1100">
            <a:solidFill>
              <a:sysClr val="windowText" lastClr="000000"/>
            </a:solidFill>
          </a:endParaRPr>
        </a:p>
        <a:p>
          <a:pPr algn="l"/>
          <a:r>
            <a:rPr lang="en-US" sz="1100">
              <a:solidFill>
                <a:sysClr val="windowText" lastClr="000000"/>
              </a:solidFill>
            </a:rPr>
            <a:t>To deactive a project or task (so that it does not show in the drop-down lists), delete the "x" in the Active column.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andon Wong" refreshedDate="44277.744218287036" missingItemsLimit="0" createdVersion="4" refreshedVersion="6" minRefreshableVersion="3" recordCount="162" xr:uid="{00000000-000A-0000-FFFF-FFFF03000000}">
  <cacheSource type="worksheet">
    <worksheetSource ref="B13:Q173" sheet="Time Log"/>
  </cacheSource>
  <cacheFields count="18">
    <cacheField name="Month" numFmtId="18">
      <sharedItems count="6">
        <s v="Jan"/>
        <s v="Mar"/>
        <s v="Apr"/>
        <s v="May"/>
        <s v="Jun"/>
        <s v="Jul"/>
      </sharedItems>
    </cacheField>
    <cacheField name="Week" numFmtId="18">
      <sharedItems/>
    </cacheField>
    <cacheField name="Day" numFmtId="18">
      <sharedItems count="7">
        <s v="Saturday"/>
        <s v="Monday"/>
        <s v="Tuesday"/>
        <s v="Wednesday"/>
        <s v="Thursday"/>
        <s v="Friday"/>
        <s v="Sunday"/>
      </sharedItems>
    </cacheField>
    <cacheField name="Time of Day" numFmtId="18">
      <sharedItems/>
    </cacheField>
    <cacheField name="Productivity" numFmtId="18">
      <sharedItems count="3">
        <s v=""/>
        <s v="Productive Hours"/>
        <s v="Wasted Hours"/>
      </sharedItems>
    </cacheField>
    <cacheField name="Date" numFmtId="14">
      <sharedItems containsNonDate="0" containsDate="1" containsString="0" containsBlank="1" minDate="2021-03-15T00:00:00" maxDate="2021-07-22T00:00:00" count="119">
        <m/>
        <d v="2021-03-15T00:00:00"/>
        <d v="2021-03-16T00:00:00"/>
        <d v="2021-03-17T00:00:00"/>
        <d v="2021-03-20T00:00:00"/>
        <d v="2021-03-18T00:00:00"/>
        <d v="2021-03-19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sharedItems>
      <fieldGroup par="16" base="5">
        <rangePr groupBy="days" startDate="2021-03-15T00:00:00" endDate="2021-07-22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7/22/2021"/>
        </groupItems>
      </fieldGroup>
    </cacheField>
    <cacheField name="Project ID" numFmtId="18">
      <sharedItems containsBlank="1" count="7">
        <m/>
        <s v="Sleeping"/>
        <s v="Physical Health"/>
        <s v="Personal Development"/>
        <s v="Driving"/>
        <s v="Mental Health - Social"/>
        <s v="Distractions"/>
      </sharedItems>
    </cacheField>
    <cacheField name="Task ID" numFmtId="18">
      <sharedItems containsBlank="1" count="9">
        <m/>
        <s v="Actually Sleeping"/>
        <s v="Exercise"/>
        <s v="Hygeine"/>
        <s v="PD - Planning"/>
        <s v="Driving - Personal"/>
        <s v="PD - Productivity &amp; Flow"/>
        <s v="Inner Circle 1"/>
        <s v="Cuddling w/GF"/>
      </sharedItems>
    </cacheField>
    <cacheField name="As Planned" numFmtId="18">
      <sharedItems containsNonDate="0" containsString="0" containsBlank="1"/>
    </cacheField>
    <cacheField name="Notes" numFmtId="18">
      <sharedItems containsBlank="1"/>
    </cacheField>
    <cacheField name="Start_x000a_Time" numFmtId="18">
      <sharedItems containsNonDate="0" containsDate="1" containsString="0" containsBlank="1" minDate="1899-12-30T07:00:00" maxDate="1899-12-30T22:30:00"/>
    </cacheField>
    <cacheField name="Breaks_x000a_(minutes)" numFmtId="18">
      <sharedItems containsNonDate="0" containsString="0" containsBlank="1"/>
    </cacheField>
    <cacheField name="End_x000a_Time" numFmtId="18">
      <sharedItems containsNonDate="0" containsDate="1" containsString="0" containsBlank="1" minDate="1899-12-30T06:00:00" maxDate="1899-12-30T22:30:00"/>
    </cacheField>
    <cacheField name="Minutes Worked" numFmtId="0">
      <sharedItems containsNonDate="0" containsString="0" containsBlank="1"/>
    </cacheField>
    <cacheField name="Hours" numFmtId="4">
      <sharedItems containsSemiMixedTypes="0" containsString="0" containsNumber="1" minValue="0" maxValue="9"/>
    </cacheField>
    <cacheField name="Current Period" numFmtId="4">
      <sharedItems count="2">
        <s v="no"/>
        <s v="yes"/>
      </sharedItems>
    </cacheField>
    <cacheField name="Months" numFmtId="0" databaseField="0">
      <fieldGroup base="5">
        <rangePr groupBy="months" startDate="2021-03-15T00:00:00" endDate="2021-07-22T00:00:00"/>
        <groupItems count="14">
          <s v="&lt;3/15/2021"/>
          <s v="Jan"/>
          <s v="Feb"/>
          <s v="Mar"/>
          <s v="Apr"/>
          <s v="May"/>
          <s v="Jun"/>
          <s v="Jul"/>
          <s v="Aug"/>
          <s v="Sep"/>
          <s v="Oct"/>
          <s v="Nov"/>
          <s v="Dec"/>
          <s v="&gt;7/22/2021"/>
        </groupItems>
      </fieldGroup>
    </cacheField>
    <cacheField name="Field1" numFmtId="0" formula="Hours/Hou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andon Wong" refreshedDate="44277.74421921296" missingItemsLimit="0" createdVersion="4" refreshedVersion="6" recordCount="32" xr:uid="{00000000-000A-0000-FFFF-FFFF02000000}">
  <cacheSource type="worksheet">
    <worksheetSource ref="A4:C36" sheet="Projects"/>
  </cacheSource>
  <cacheFields count="3">
    <cacheField name="Active" numFmtId="0">
      <sharedItems count="2">
        <s v=""/>
        <s v="x"/>
      </sharedItems>
    </cacheField>
    <cacheField name="Project ID" numFmtId="0">
      <sharedItems count="12">
        <s v=""/>
        <s v="Chores"/>
        <s v="Distractions"/>
        <s v="Driving"/>
        <s v="Mental Health - Self"/>
        <s v="Mental Health - Social"/>
        <s v="Personal Development"/>
        <s v="Physical Health"/>
        <s v="Sleeping"/>
        <s v="Professional Development"/>
        <s v="Work - Important"/>
        <s v="Work - Not Important"/>
      </sharedItems>
    </cacheField>
    <cacheField name="Task ID" numFmtId="0">
      <sharedItems count="32">
        <s v=""/>
        <s v="House"/>
        <s v="Life"/>
        <s v="Youtube"/>
        <s v="Gaming"/>
        <s v="Dicking Around"/>
        <s v="Cuddling w/GF"/>
        <s v="Driving - Personal"/>
        <s v="Driving - Work"/>
        <s v="Recreational - Hobby"/>
        <s v="Recreational - Interests"/>
        <s v="Meditation"/>
        <s v="GF Time"/>
        <s v="Family Time"/>
        <s v="Inner Circle 1"/>
        <s v="Inner Circle 2"/>
        <s v="PD - Planning"/>
        <s v="PD - Productivity &amp; Flow"/>
        <s v="PD - Network Expanding"/>
        <s v="PD - Required Admin Work"/>
        <s v="PD - Property Management"/>
        <s v="Exercise"/>
        <s v="Hygeine"/>
        <s v="Actually Sleeping"/>
        <s v="Attempting to Sleep"/>
        <s v="Eating"/>
        <s v="Courses"/>
        <s v="Research"/>
        <s v="Work - Planning"/>
        <s v="Work - Productivity &amp; Flow"/>
        <s v="Work - Network Expanding"/>
        <s v="Work - Required Admin Work"/>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2">
  <r>
    <x v="0"/>
    <s v=""/>
    <x v="0"/>
    <s v=""/>
    <x v="0"/>
    <x v="0"/>
    <x v="0"/>
    <x v="0"/>
    <m/>
    <m/>
    <m/>
    <m/>
    <m/>
    <m/>
    <n v="0"/>
    <x v="0"/>
  </r>
  <r>
    <x v="0"/>
    <s v=""/>
    <x v="0"/>
    <s v=""/>
    <x v="0"/>
    <x v="0"/>
    <x v="0"/>
    <x v="0"/>
    <m/>
    <m/>
    <m/>
    <m/>
    <m/>
    <m/>
    <n v="0"/>
    <x v="0"/>
  </r>
  <r>
    <x v="1"/>
    <s v=""/>
    <x v="1"/>
    <s v="Late Evening"/>
    <x v="1"/>
    <x v="1"/>
    <x v="1"/>
    <x v="1"/>
    <m/>
    <m/>
    <d v="1899-12-30T22:30:00"/>
    <m/>
    <d v="1899-12-30T06:00:00"/>
    <m/>
    <n v="7.5"/>
    <x v="1"/>
  </r>
  <r>
    <x v="1"/>
    <s v=""/>
    <x v="1"/>
    <s v="Early Morning"/>
    <x v="1"/>
    <x v="1"/>
    <x v="2"/>
    <x v="2"/>
    <m/>
    <s v="Biking"/>
    <d v="1899-12-30T07:00:00"/>
    <m/>
    <d v="1899-12-30T07:30:00"/>
    <m/>
    <n v="0.5"/>
    <x v="1"/>
  </r>
  <r>
    <x v="1"/>
    <s v=""/>
    <x v="1"/>
    <s v="Early Morning"/>
    <x v="1"/>
    <x v="1"/>
    <x v="2"/>
    <x v="3"/>
    <m/>
    <s v="Morning Cleaning Routine"/>
    <d v="1899-12-30T07:45:00"/>
    <m/>
    <d v="1899-12-30T08:00:00"/>
    <m/>
    <n v="0.25"/>
    <x v="1"/>
  </r>
  <r>
    <x v="1"/>
    <s v=""/>
    <x v="1"/>
    <s v="Early Morning"/>
    <x v="1"/>
    <x v="1"/>
    <x v="3"/>
    <x v="4"/>
    <m/>
    <s v="Daily Walkthrough"/>
    <d v="1899-12-30T08:00:00"/>
    <m/>
    <d v="1899-12-30T08:15:00"/>
    <m/>
    <n v="0.25"/>
    <x v="1"/>
  </r>
  <r>
    <x v="1"/>
    <s v=""/>
    <x v="1"/>
    <s v="Early Morning"/>
    <x v="2"/>
    <x v="1"/>
    <x v="4"/>
    <x v="5"/>
    <m/>
    <s v="Driving to Daily XYZ"/>
    <d v="1899-12-30T08:15:00"/>
    <m/>
    <d v="1899-12-30T09:00:00"/>
    <m/>
    <n v="0.75"/>
    <x v="1"/>
  </r>
  <r>
    <x v="1"/>
    <s v=""/>
    <x v="1"/>
    <s v="Morning"/>
    <x v="1"/>
    <x v="1"/>
    <x v="3"/>
    <x v="6"/>
    <m/>
    <s v="Working on Shit"/>
    <d v="1899-12-30T09:00:00"/>
    <m/>
    <d v="1899-12-30T12:00:00"/>
    <m/>
    <n v="3"/>
    <x v="1"/>
  </r>
  <r>
    <x v="1"/>
    <s v=""/>
    <x v="1"/>
    <s v="Afternoon"/>
    <x v="2"/>
    <x v="1"/>
    <x v="5"/>
    <x v="7"/>
    <m/>
    <s v="Xyz"/>
    <d v="1899-12-30T12:00:00"/>
    <m/>
    <d v="1899-12-30T15:00:00"/>
    <m/>
    <n v="3"/>
    <x v="1"/>
  </r>
  <r>
    <x v="1"/>
    <s v=""/>
    <x v="1"/>
    <s v="Afternoon"/>
    <x v="1"/>
    <x v="1"/>
    <x v="3"/>
    <x v="6"/>
    <m/>
    <s v="Property Management"/>
    <d v="1899-12-30T15:00:00"/>
    <m/>
    <d v="1899-12-30T18:00:00"/>
    <m/>
    <n v="3"/>
    <x v="1"/>
  </r>
  <r>
    <x v="1"/>
    <s v=""/>
    <x v="1"/>
    <s v="Evening"/>
    <x v="2"/>
    <x v="1"/>
    <x v="4"/>
    <x v="5"/>
    <m/>
    <s v="Driving back to condo"/>
    <d v="1899-12-30T18:00:00"/>
    <m/>
    <d v="1899-12-30T19:00:00"/>
    <m/>
    <n v="1"/>
    <x v="1"/>
  </r>
  <r>
    <x v="1"/>
    <s v=""/>
    <x v="1"/>
    <s v="Evening"/>
    <x v="2"/>
    <x v="1"/>
    <x v="6"/>
    <x v="8"/>
    <m/>
    <s v="Cuddlllessss"/>
    <d v="1899-12-30T19:00:00"/>
    <m/>
    <d v="1899-12-30T21:00:00"/>
    <m/>
    <n v="2"/>
    <x v="1"/>
  </r>
  <r>
    <x v="1"/>
    <s v=""/>
    <x v="2"/>
    <s v="Late Evening"/>
    <x v="1"/>
    <x v="2"/>
    <x v="1"/>
    <x v="1"/>
    <m/>
    <m/>
    <d v="1899-12-30T22:30:00"/>
    <m/>
    <d v="1899-12-30T06:00:00"/>
    <m/>
    <n v="7.5"/>
    <x v="1"/>
  </r>
  <r>
    <x v="1"/>
    <s v=""/>
    <x v="2"/>
    <s v="Early Morning"/>
    <x v="1"/>
    <x v="2"/>
    <x v="2"/>
    <x v="2"/>
    <m/>
    <s v="Biking"/>
    <d v="1899-12-30T07:00:00"/>
    <m/>
    <d v="1899-12-30T07:45:00"/>
    <m/>
    <n v="0.75"/>
    <x v="1"/>
  </r>
  <r>
    <x v="1"/>
    <s v=""/>
    <x v="2"/>
    <s v="Early Morning"/>
    <x v="1"/>
    <x v="2"/>
    <x v="2"/>
    <x v="3"/>
    <m/>
    <s v="Morning Cleaning Routine"/>
    <d v="1899-12-30T07:45:00"/>
    <m/>
    <d v="1899-12-30T08:00:00"/>
    <m/>
    <n v="0.25"/>
    <x v="1"/>
  </r>
  <r>
    <x v="1"/>
    <s v=""/>
    <x v="2"/>
    <s v="Early Morning"/>
    <x v="1"/>
    <x v="2"/>
    <x v="3"/>
    <x v="4"/>
    <m/>
    <s v="Daily Walkthrough"/>
    <d v="1899-12-30T08:00:00"/>
    <m/>
    <d v="1899-12-30T08:15:00"/>
    <m/>
    <n v="0.25"/>
    <x v="1"/>
  </r>
  <r>
    <x v="1"/>
    <s v=""/>
    <x v="2"/>
    <s v="Early Morning"/>
    <x v="2"/>
    <x v="2"/>
    <x v="4"/>
    <x v="5"/>
    <m/>
    <s v="Driving to Daily XYZ"/>
    <d v="1899-12-30T08:15:00"/>
    <m/>
    <d v="1899-12-30T09:00:00"/>
    <m/>
    <n v="0.75"/>
    <x v="1"/>
  </r>
  <r>
    <x v="1"/>
    <s v=""/>
    <x v="2"/>
    <s v="Morning"/>
    <x v="1"/>
    <x v="2"/>
    <x v="3"/>
    <x v="6"/>
    <m/>
    <s v="Working on Shit"/>
    <d v="1899-12-30T09:00:00"/>
    <m/>
    <d v="1899-12-30T12:00:00"/>
    <m/>
    <n v="3"/>
    <x v="1"/>
  </r>
  <r>
    <x v="1"/>
    <s v=""/>
    <x v="2"/>
    <s v="Afternoon"/>
    <x v="2"/>
    <x v="2"/>
    <x v="5"/>
    <x v="7"/>
    <m/>
    <s v="Fucking Joon"/>
    <d v="1899-12-30T12:00:00"/>
    <m/>
    <d v="1899-12-30T15:00:00"/>
    <m/>
    <n v="3"/>
    <x v="1"/>
  </r>
  <r>
    <x v="1"/>
    <s v=""/>
    <x v="2"/>
    <s v="Afternoon"/>
    <x v="1"/>
    <x v="2"/>
    <x v="3"/>
    <x v="6"/>
    <m/>
    <s v="Property Management"/>
    <d v="1899-12-30T15:00:00"/>
    <m/>
    <d v="1899-12-30T18:00:00"/>
    <m/>
    <n v="3"/>
    <x v="1"/>
  </r>
  <r>
    <x v="1"/>
    <s v=""/>
    <x v="2"/>
    <s v="Evening"/>
    <x v="2"/>
    <x v="2"/>
    <x v="4"/>
    <x v="5"/>
    <m/>
    <s v="Driving back to condo"/>
    <d v="1899-12-30T18:00:00"/>
    <m/>
    <d v="1899-12-30T19:00:00"/>
    <m/>
    <n v="1"/>
    <x v="1"/>
  </r>
  <r>
    <x v="1"/>
    <s v=""/>
    <x v="2"/>
    <s v="Evening"/>
    <x v="2"/>
    <x v="2"/>
    <x v="6"/>
    <x v="8"/>
    <m/>
    <s v="Cuddlllessss"/>
    <d v="1899-12-30T19:00:00"/>
    <m/>
    <d v="1899-12-30T21:00:00"/>
    <m/>
    <n v="2"/>
    <x v="1"/>
  </r>
  <r>
    <x v="1"/>
    <s v=""/>
    <x v="3"/>
    <s v="Late Evening"/>
    <x v="1"/>
    <x v="3"/>
    <x v="1"/>
    <x v="1"/>
    <m/>
    <m/>
    <d v="1899-12-30T22:30:00"/>
    <m/>
    <d v="1899-12-30T06:00:00"/>
    <m/>
    <n v="7.5"/>
    <x v="1"/>
  </r>
  <r>
    <x v="1"/>
    <s v=""/>
    <x v="3"/>
    <s v="Early Morning"/>
    <x v="1"/>
    <x v="3"/>
    <x v="2"/>
    <x v="2"/>
    <m/>
    <s v="Biking"/>
    <d v="1899-12-30T07:00:00"/>
    <m/>
    <d v="1899-12-30T07:45:00"/>
    <m/>
    <n v="0.75"/>
    <x v="1"/>
  </r>
  <r>
    <x v="1"/>
    <s v=""/>
    <x v="3"/>
    <s v="Early Morning"/>
    <x v="1"/>
    <x v="3"/>
    <x v="2"/>
    <x v="3"/>
    <m/>
    <s v="Morning Cleaning Routine"/>
    <d v="1899-12-30T07:45:00"/>
    <m/>
    <d v="1899-12-30T08:00:00"/>
    <m/>
    <n v="0.25"/>
    <x v="1"/>
  </r>
  <r>
    <x v="1"/>
    <s v=""/>
    <x v="3"/>
    <s v="Early Morning"/>
    <x v="1"/>
    <x v="3"/>
    <x v="3"/>
    <x v="4"/>
    <m/>
    <s v="Daily Walkthrough"/>
    <d v="1899-12-30T08:00:00"/>
    <m/>
    <d v="1899-12-30T08:15:00"/>
    <m/>
    <n v="0.25"/>
    <x v="1"/>
  </r>
  <r>
    <x v="1"/>
    <s v=""/>
    <x v="3"/>
    <s v="Early Morning"/>
    <x v="2"/>
    <x v="3"/>
    <x v="4"/>
    <x v="5"/>
    <m/>
    <s v="Driving to Daily XYZ"/>
    <d v="1899-12-30T08:15:00"/>
    <m/>
    <d v="1899-12-30T09:00:00"/>
    <m/>
    <n v="0.75"/>
    <x v="1"/>
  </r>
  <r>
    <x v="1"/>
    <s v=""/>
    <x v="3"/>
    <s v="Morning"/>
    <x v="1"/>
    <x v="3"/>
    <x v="3"/>
    <x v="6"/>
    <m/>
    <s v="Working on Shit"/>
    <d v="1899-12-30T09:00:00"/>
    <m/>
    <d v="1899-12-30T12:00:00"/>
    <m/>
    <n v="3"/>
    <x v="1"/>
  </r>
  <r>
    <x v="1"/>
    <s v=""/>
    <x v="3"/>
    <s v="Afternoon"/>
    <x v="2"/>
    <x v="3"/>
    <x v="5"/>
    <x v="7"/>
    <m/>
    <s v="Fucking Joon"/>
    <d v="1899-12-30T12:00:00"/>
    <m/>
    <d v="1899-12-30T15:00:00"/>
    <m/>
    <n v="3"/>
    <x v="1"/>
  </r>
  <r>
    <x v="1"/>
    <s v=""/>
    <x v="3"/>
    <s v="Afternoon"/>
    <x v="1"/>
    <x v="3"/>
    <x v="3"/>
    <x v="6"/>
    <m/>
    <s v="Property Management"/>
    <d v="1899-12-30T15:00:00"/>
    <m/>
    <d v="1899-12-30T18:00:00"/>
    <m/>
    <n v="3"/>
    <x v="1"/>
  </r>
  <r>
    <x v="1"/>
    <s v=""/>
    <x v="3"/>
    <s v="Evening"/>
    <x v="2"/>
    <x v="3"/>
    <x v="4"/>
    <x v="5"/>
    <m/>
    <s v="Driving back to condo"/>
    <d v="1899-12-30T18:00:00"/>
    <m/>
    <d v="1899-12-30T19:00:00"/>
    <m/>
    <n v="1"/>
    <x v="1"/>
  </r>
  <r>
    <x v="1"/>
    <s v=""/>
    <x v="3"/>
    <s v="Evening"/>
    <x v="2"/>
    <x v="3"/>
    <x v="6"/>
    <x v="8"/>
    <m/>
    <s v="Cuddlllessss"/>
    <d v="1899-12-30T19:00:00"/>
    <m/>
    <d v="1899-12-30T21:00:00"/>
    <m/>
    <n v="2"/>
    <x v="1"/>
  </r>
  <r>
    <x v="1"/>
    <s v=""/>
    <x v="0"/>
    <s v="Afternoon"/>
    <x v="2"/>
    <x v="4"/>
    <x v="4"/>
    <x v="5"/>
    <m/>
    <s v="Driving to Speakeasy"/>
    <d v="1899-12-30T16:54:00"/>
    <m/>
    <d v="1899-12-30T17:24:00"/>
    <m/>
    <n v="0.5"/>
    <x v="1"/>
  </r>
  <r>
    <x v="1"/>
    <s v=""/>
    <x v="0"/>
    <s v="Afternoon"/>
    <x v="1"/>
    <x v="4"/>
    <x v="3"/>
    <x v="4"/>
    <m/>
    <s v="Creating Time Tracking Excel"/>
    <d v="1899-12-30T17:24:00"/>
    <m/>
    <d v="1899-12-30T22:00:00"/>
    <m/>
    <n v="4.5999999999999996"/>
    <x v="1"/>
  </r>
  <r>
    <x v="1"/>
    <s v=""/>
    <x v="0"/>
    <s v="Late Evening"/>
    <x v="2"/>
    <x v="4"/>
    <x v="4"/>
    <x v="5"/>
    <m/>
    <s v="Driving back home"/>
    <d v="1899-12-30T22:00:00"/>
    <m/>
    <d v="1899-12-30T22:30:00"/>
    <m/>
    <n v="0.5"/>
    <x v="1"/>
  </r>
  <r>
    <x v="1"/>
    <s v=""/>
    <x v="0"/>
    <s v="Late Evening"/>
    <x v="1"/>
    <x v="4"/>
    <x v="1"/>
    <x v="1"/>
    <m/>
    <m/>
    <d v="1899-12-30T22:30:00"/>
    <m/>
    <d v="1899-12-30T06:00:00"/>
    <m/>
    <n v="7.5"/>
    <x v="1"/>
  </r>
  <r>
    <x v="1"/>
    <s v=""/>
    <x v="4"/>
    <s v="Early Morning"/>
    <x v="1"/>
    <x v="5"/>
    <x v="2"/>
    <x v="2"/>
    <m/>
    <s v="Biking"/>
    <d v="1899-12-30T07:00:00"/>
    <m/>
    <d v="1899-12-30T07:45:00"/>
    <m/>
    <n v="0.75"/>
    <x v="1"/>
  </r>
  <r>
    <x v="1"/>
    <s v=""/>
    <x v="4"/>
    <s v="Early Morning"/>
    <x v="1"/>
    <x v="5"/>
    <x v="2"/>
    <x v="3"/>
    <m/>
    <s v="Morning Cleaning Routine"/>
    <d v="1899-12-30T07:45:00"/>
    <m/>
    <d v="1899-12-30T08:00:00"/>
    <m/>
    <n v="0.25"/>
    <x v="1"/>
  </r>
  <r>
    <x v="1"/>
    <s v=""/>
    <x v="4"/>
    <s v="Early Morning"/>
    <x v="1"/>
    <x v="5"/>
    <x v="3"/>
    <x v="4"/>
    <m/>
    <s v="Daily Walkthrough"/>
    <d v="1899-12-30T08:00:00"/>
    <m/>
    <d v="1899-12-30T08:15:00"/>
    <m/>
    <n v="0.25"/>
    <x v="1"/>
  </r>
  <r>
    <x v="1"/>
    <s v=""/>
    <x v="4"/>
    <s v="Early Morning"/>
    <x v="2"/>
    <x v="5"/>
    <x v="4"/>
    <x v="5"/>
    <m/>
    <s v="Driving to Daily XYZ"/>
    <d v="1899-12-30T08:15:00"/>
    <m/>
    <d v="1899-12-30T09:00:00"/>
    <m/>
    <n v="0.75"/>
    <x v="1"/>
  </r>
  <r>
    <x v="1"/>
    <s v=""/>
    <x v="4"/>
    <s v="Morning"/>
    <x v="1"/>
    <x v="5"/>
    <x v="3"/>
    <x v="6"/>
    <m/>
    <s v="Working on Shit"/>
    <d v="1899-12-30T09:00:00"/>
    <m/>
    <d v="1899-12-30T12:00:00"/>
    <m/>
    <n v="3"/>
    <x v="1"/>
  </r>
  <r>
    <x v="1"/>
    <s v=""/>
    <x v="4"/>
    <s v="Afternoon"/>
    <x v="2"/>
    <x v="5"/>
    <x v="5"/>
    <x v="7"/>
    <m/>
    <s v="Fucking Joon"/>
    <d v="1899-12-30T12:00:00"/>
    <m/>
    <d v="1899-12-30T15:00:00"/>
    <m/>
    <n v="3"/>
    <x v="1"/>
  </r>
  <r>
    <x v="1"/>
    <s v=""/>
    <x v="4"/>
    <s v="Afternoon"/>
    <x v="1"/>
    <x v="5"/>
    <x v="3"/>
    <x v="6"/>
    <m/>
    <s v="Property Management"/>
    <d v="1899-12-30T15:00:00"/>
    <m/>
    <d v="1899-12-30T18:00:00"/>
    <m/>
    <n v="3"/>
    <x v="1"/>
  </r>
  <r>
    <x v="1"/>
    <s v=""/>
    <x v="4"/>
    <s v="Evening"/>
    <x v="2"/>
    <x v="5"/>
    <x v="4"/>
    <x v="5"/>
    <m/>
    <s v="Driving back to condo"/>
    <d v="1899-12-30T18:00:00"/>
    <m/>
    <d v="1899-12-30T19:00:00"/>
    <m/>
    <n v="1"/>
    <x v="1"/>
  </r>
  <r>
    <x v="1"/>
    <s v=""/>
    <x v="4"/>
    <s v="Evening"/>
    <x v="2"/>
    <x v="5"/>
    <x v="6"/>
    <x v="8"/>
    <m/>
    <s v="Cuddlllessss"/>
    <d v="1899-12-30T19:00:00"/>
    <m/>
    <d v="1899-12-30T21:00:00"/>
    <m/>
    <n v="2"/>
    <x v="1"/>
  </r>
  <r>
    <x v="1"/>
    <s v=""/>
    <x v="5"/>
    <s v="Late Evening"/>
    <x v="1"/>
    <x v="6"/>
    <x v="1"/>
    <x v="1"/>
    <m/>
    <m/>
    <d v="1899-12-30T21:00:00"/>
    <m/>
    <d v="1899-12-30T06:00:00"/>
    <m/>
    <n v="9"/>
    <x v="1"/>
  </r>
  <r>
    <x v="2"/>
    <s v="Week of 03/29/2021"/>
    <x v="4"/>
    <s v="Afternoon"/>
    <x v="2"/>
    <x v="7"/>
    <x v="4"/>
    <x v="5"/>
    <m/>
    <s v="Driving to Speakeasy"/>
    <d v="1899-12-30T16:54:00"/>
    <m/>
    <d v="1899-12-30T17:24:00"/>
    <m/>
    <n v="0.5"/>
    <x v="0"/>
  </r>
  <r>
    <x v="2"/>
    <s v="Week of 03/29/2021"/>
    <x v="5"/>
    <s v="Afternoon"/>
    <x v="1"/>
    <x v="8"/>
    <x v="3"/>
    <x v="4"/>
    <m/>
    <s v="Creating Time Tracking Excel"/>
    <d v="1899-12-30T17:24:00"/>
    <m/>
    <d v="1899-12-30T22:00:00"/>
    <m/>
    <n v="4.5999999999999996"/>
    <x v="0"/>
  </r>
  <r>
    <x v="2"/>
    <s v="Week of 03/29/2021"/>
    <x v="0"/>
    <s v="Late Evening"/>
    <x v="2"/>
    <x v="9"/>
    <x v="4"/>
    <x v="5"/>
    <m/>
    <s v="Driving back home"/>
    <d v="1899-12-30T22:00:00"/>
    <m/>
    <d v="1899-12-30T22:30:00"/>
    <m/>
    <n v="0.5"/>
    <x v="0"/>
  </r>
  <r>
    <x v="2"/>
    <s v="Week of 03/29/2021"/>
    <x v="6"/>
    <s v="Late Evening"/>
    <x v="1"/>
    <x v="10"/>
    <x v="1"/>
    <x v="1"/>
    <m/>
    <m/>
    <d v="1899-12-30T22:30:00"/>
    <m/>
    <d v="1899-12-30T06:00:00"/>
    <m/>
    <n v="7.5"/>
    <x v="0"/>
  </r>
  <r>
    <x v="2"/>
    <s v="Week of 04/05/2021"/>
    <x v="1"/>
    <s v="Early Morning"/>
    <x v="1"/>
    <x v="11"/>
    <x v="2"/>
    <x v="2"/>
    <m/>
    <s v="Biking"/>
    <d v="1899-12-30T07:00:00"/>
    <m/>
    <d v="1899-12-30T07:45:00"/>
    <m/>
    <n v="0.75"/>
    <x v="0"/>
  </r>
  <r>
    <x v="2"/>
    <s v="Week of 04/05/2021"/>
    <x v="2"/>
    <s v="Early Morning"/>
    <x v="1"/>
    <x v="12"/>
    <x v="2"/>
    <x v="3"/>
    <m/>
    <s v="Morning Cleaning Routine"/>
    <d v="1899-12-30T07:45:00"/>
    <m/>
    <d v="1899-12-30T08:00:00"/>
    <m/>
    <n v="0.25"/>
    <x v="0"/>
  </r>
  <r>
    <x v="2"/>
    <s v="Week of 04/05/2021"/>
    <x v="3"/>
    <s v="Early Morning"/>
    <x v="1"/>
    <x v="13"/>
    <x v="3"/>
    <x v="4"/>
    <m/>
    <s v="Daily Walkthrough"/>
    <d v="1899-12-30T08:00:00"/>
    <m/>
    <d v="1899-12-30T08:15:00"/>
    <m/>
    <n v="0.25"/>
    <x v="0"/>
  </r>
  <r>
    <x v="2"/>
    <s v="Week of 04/05/2021"/>
    <x v="4"/>
    <s v="Early Morning"/>
    <x v="2"/>
    <x v="14"/>
    <x v="4"/>
    <x v="5"/>
    <m/>
    <s v="Driving to Daily XYZ"/>
    <d v="1899-12-30T08:15:00"/>
    <m/>
    <d v="1899-12-30T09:00:00"/>
    <m/>
    <n v="0.75"/>
    <x v="0"/>
  </r>
  <r>
    <x v="2"/>
    <s v="Week of 04/05/2021"/>
    <x v="5"/>
    <s v="Morning"/>
    <x v="1"/>
    <x v="15"/>
    <x v="3"/>
    <x v="6"/>
    <m/>
    <s v="Working on Shit"/>
    <d v="1899-12-30T09:00:00"/>
    <m/>
    <d v="1899-12-30T12:00:00"/>
    <m/>
    <n v="3"/>
    <x v="0"/>
  </r>
  <r>
    <x v="2"/>
    <s v="Week of 04/05/2021"/>
    <x v="0"/>
    <s v="Afternoon"/>
    <x v="2"/>
    <x v="16"/>
    <x v="5"/>
    <x v="7"/>
    <m/>
    <s v="Fucking Joon"/>
    <d v="1899-12-30T12:00:00"/>
    <m/>
    <d v="1899-12-30T15:00:00"/>
    <m/>
    <n v="3"/>
    <x v="0"/>
  </r>
  <r>
    <x v="2"/>
    <s v="Week of 04/05/2021"/>
    <x v="6"/>
    <s v="Afternoon"/>
    <x v="1"/>
    <x v="17"/>
    <x v="3"/>
    <x v="6"/>
    <m/>
    <s v="Property Management"/>
    <d v="1899-12-30T15:00:00"/>
    <m/>
    <d v="1899-12-30T18:00:00"/>
    <m/>
    <n v="3"/>
    <x v="0"/>
  </r>
  <r>
    <x v="2"/>
    <s v="Week of 04/12/2021"/>
    <x v="1"/>
    <s v="Evening"/>
    <x v="2"/>
    <x v="18"/>
    <x v="4"/>
    <x v="5"/>
    <m/>
    <s v="Driving back to condo"/>
    <d v="1899-12-30T18:00:00"/>
    <m/>
    <d v="1899-12-30T19:00:00"/>
    <m/>
    <n v="1"/>
    <x v="0"/>
  </r>
  <r>
    <x v="2"/>
    <s v="Week of 04/12/2021"/>
    <x v="2"/>
    <s v="Evening"/>
    <x v="2"/>
    <x v="19"/>
    <x v="6"/>
    <x v="8"/>
    <m/>
    <s v="Cuddlllessss"/>
    <d v="1899-12-30T19:00:00"/>
    <m/>
    <d v="1899-12-30T21:00:00"/>
    <m/>
    <n v="2"/>
    <x v="0"/>
  </r>
  <r>
    <x v="2"/>
    <s v="Week of 04/12/2021"/>
    <x v="3"/>
    <s v="Late Evening"/>
    <x v="1"/>
    <x v="20"/>
    <x v="1"/>
    <x v="1"/>
    <m/>
    <m/>
    <d v="1899-12-30T21:00:00"/>
    <m/>
    <d v="1899-12-30T06:00:00"/>
    <m/>
    <n v="9"/>
    <x v="0"/>
  </r>
  <r>
    <x v="2"/>
    <s v="Week of 04/12/2021"/>
    <x v="4"/>
    <s v="Afternoon"/>
    <x v="2"/>
    <x v="21"/>
    <x v="4"/>
    <x v="5"/>
    <m/>
    <s v="Driving to Speakeasy"/>
    <d v="1899-12-30T16:54:00"/>
    <m/>
    <d v="1899-12-30T17:24:00"/>
    <m/>
    <n v="0.5"/>
    <x v="0"/>
  </r>
  <r>
    <x v="2"/>
    <s v="Week of 04/12/2021"/>
    <x v="5"/>
    <s v="Afternoon"/>
    <x v="1"/>
    <x v="22"/>
    <x v="3"/>
    <x v="4"/>
    <m/>
    <s v="Creating Time Tracking Excel"/>
    <d v="1899-12-30T17:24:00"/>
    <m/>
    <d v="1899-12-30T22:00:00"/>
    <m/>
    <n v="4.5999999999999996"/>
    <x v="0"/>
  </r>
  <r>
    <x v="2"/>
    <s v="Week of 04/12/2021"/>
    <x v="0"/>
    <s v="Late Evening"/>
    <x v="2"/>
    <x v="23"/>
    <x v="4"/>
    <x v="5"/>
    <m/>
    <s v="Driving back home"/>
    <d v="1899-12-30T22:00:00"/>
    <m/>
    <d v="1899-12-30T22:30:00"/>
    <m/>
    <n v="0.5"/>
    <x v="0"/>
  </r>
  <r>
    <x v="2"/>
    <s v="Week of 04/12/2021"/>
    <x v="6"/>
    <s v="Late Evening"/>
    <x v="1"/>
    <x v="24"/>
    <x v="1"/>
    <x v="1"/>
    <m/>
    <m/>
    <d v="1899-12-30T22:30:00"/>
    <m/>
    <d v="1899-12-30T06:00:00"/>
    <m/>
    <n v="7.5"/>
    <x v="0"/>
  </r>
  <r>
    <x v="2"/>
    <s v="Week of 04/19/2021"/>
    <x v="1"/>
    <s v="Early Morning"/>
    <x v="1"/>
    <x v="25"/>
    <x v="2"/>
    <x v="2"/>
    <m/>
    <s v="Biking"/>
    <d v="1899-12-30T07:00:00"/>
    <m/>
    <d v="1899-12-30T07:45:00"/>
    <m/>
    <n v="0.75"/>
    <x v="0"/>
  </r>
  <r>
    <x v="2"/>
    <s v="Week of 04/19/2021"/>
    <x v="2"/>
    <s v="Early Morning"/>
    <x v="1"/>
    <x v="26"/>
    <x v="2"/>
    <x v="3"/>
    <m/>
    <s v="Morning Cleaning Routine"/>
    <d v="1899-12-30T07:45:00"/>
    <m/>
    <d v="1899-12-30T08:00:00"/>
    <m/>
    <n v="0.25"/>
    <x v="0"/>
  </r>
  <r>
    <x v="2"/>
    <s v="Week of 04/19/2021"/>
    <x v="3"/>
    <s v="Early Morning"/>
    <x v="1"/>
    <x v="27"/>
    <x v="3"/>
    <x v="4"/>
    <m/>
    <s v="Daily Walkthrough"/>
    <d v="1899-12-30T08:00:00"/>
    <m/>
    <d v="1899-12-30T08:15:00"/>
    <m/>
    <n v="0.25"/>
    <x v="0"/>
  </r>
  <r>
    <x v="2"/>
    <s v="Week of 04/19/2021"/>
    <x v="4"/>
    <s v="Early Morning"/>
    <x v="2"/>
    <x v="28"/>
    <x v="4"/>
    <x v="5"/>
    <m/>
    <s v="Driving to Daily XYZ"/>
    <d v="1899-12-30T08:15:00"/>
    <m/>
    <d v="1899-12-30T09:00:00"/>
    <m/>
    <n v="0.75"/>
    <x v="0"/>
  </r>
  <r>
    <x v="2"/>
    <s v="Week of 04/19/2021"/>
    <x v="5"/>
    <s v="Morning"/>
    <x v="1"/>
    <x v="29"/>
    <x v="3"/>
    <x v="6"/>
    <m/>
    <s v="Working on Shit"/>
    <d v="1899-12-30T09:00:00"/>
    <m/>
    <d v="1899-12-30T12:00:00"/>
    <m/>
    <n v="3"/>
    <x v="0"/>
  </r>
  <r>
    <x v="2"/>
    <s v="Week of 04/19/2021"/>
    <x v="0"/>
    <s v="Afternoon"/>
    <x v="2"/>
    <x v="30"/>
    <x v="5"/>
    <x v="7"/>
    <m/>
    <s v="Fucking Joon"/>
    <d v="1899-12-30T12:00:00"/>
    <m/>
    <d v="1899-12-30T15:00:00"/>
    <m/>
    <n v="3"/>
    <x v="0"/>
  </r>
  <r>
    <x v="2"/>
    <s v="Week of 04/19/2021"/>
    <x v="6"/>
    <s v="Afternoon"/>
    <x v="1"/>
    <x v="31"/>
    <x v="3"/>
    <x v="6"/>
    <m/>
    <s v="Property Management"/>
    <d v="1899-12-30T15:00:00"/>
    <m/>
    <d v="1899-12-30T18:00:00"/>
    <m/>
    <n v="3"/>
    <x v="0"/>
  </r>
  <r>
    <x v="2"/>
    <s v="Week of 04/26/2021"/>
    <x v="1"/>
    <s v="Evening"/>
    <x v="2"/>
    <x v="32"/>
    <x v="4"/>
    <x v="5"/>
    <m/>
    <s v="Driving back to condo"/>
    <d v="1899-12-30T18:00:00"/>
    <m/>
    <d v="1899-12-30T19:00:00"/>
    <m/>
    <n v="1"/>
    <x v="0"/>
  </r>
  <r>
    <x v="2"/>
    <s v="Week of 04/26/2021"/>
    <x v="2"/>
    <s v="Evening"/>
    <x v="2"/>
    <x v="33"/>
    <x v="6"/>
    <x v="8"/>
    <m/>
    <s v="Cuddlllessss"/>
    <d v="1899-12-30T19:00:00"/>
    <m/>
    <d v="1899-12-30T21:00:00"/>
    <m/>
    <n v="2"/>
    <x v="0"/>
  </r>
  <r>
    <x v="2"/>
    <s v="Week of 04/26/2021"/>
    <x v="3"/>
    <s v="Late Evening"/>
    <x v="1"/>
    <x v="34"/>
    <x v="1"/>
    <x v="1"/>
    <m/>
    <m/>
    <d v="1899-12-30T21:00:00"/>
    <m/>
    <d v="1899-12-30T06:00:00"/>
    <m/>
    <n v="9"/>
    <x v="0"/>
  </r>
  <r>
    <x v="2"/>
    <s v="Week of 04/26/2021"/>
    <x v="4"/>
    <s v="Afternoon"/>
    <x v="2"/>
    <x v="35"/>
    <x v="4"/>
    <x v="5"/>
    <m/>
    <s v="Driving to Speakeasy"/>
    <d v="1899-12-30T16:54:00"/>
    <m/>
    <d v="1899-12-30T17:24:00"/>
    <m/>
    <n v="0.5"/>
    <x v="0"/>
  </r>
  <r>
    <x v="2"/>
    <s v="Week of 04/26/2021"/>
    <x v="5"/>
    <s v="Afternoon"/>
    <x v="1"/>
    <x v="36"/>
    <x v="3"/>
    <x v="4"/>
    <m/>
    <s v="Creating Time Tracking Excel"/>
    <d v="1899-12-30T17:24:00"/>
    <m/>
    <d v="1899-12-30T22:00:00"/>
    <m/>
    <n v="4.5999999999999996"/>
    <x v="0"/>
  </r>
  <r>
    <x v="3"/>
    <s v="Week of 04/26/2021"/>
    <x v="0"/>
    <s v="Late Evening"/>
    <x v="2"/>
    <x v="37"/>
    <x v="4"/>
    <x v="5"/>
    <m/>
    <s v="Driving back home"/>
    <d v="1899-12-30T22:00:00"/>
    <m/>
    <d v="1899-12-30T22:30:00"/>
    <m/>
    <n v="0.5"/>
    <x v="0"/>
  </r>
  <r>
    <x v="3"/>
    <s v="Week of 04/26/2021"/>
    <x v="6"/>
    <s v="Late Evening"/>
    <x v="1"/>
    <x v="38"/>
    <x v="1"/>
    <x v="1"/>
    <m/>
    <m/>
    <d v="1899-12-30T22:30:00"/>
    <m/>
    <d v="1899-12-30T06:00:00"/>
    <m/>
    <n v="7.5"/>
    <x v="0"/>
  </r>
  <r>
    <x v="3"/>
    <s v="Week of 05/03/2021"/>
    <x v="1"/>
    <s v="Early Morning"/>
    <x v="1"/>
    <x v="39"/>
    <x v="2"/>
    <x v="2"/>
    <m/>
    <s v="Biking"/>
    <d v="1899-12-30T07:00:00"/>
    <m/>
    <d v="1899-12-30T07:45:00"/>
    <m/>
    <n v="0.75"/>
    <x v="0"/>
  </r>
  <r>
    <x v="3"/>
    <s v="Week of 05/03/2021"/>
    <x v="2"/>
    <s v="Early Morning"/>
    <x v="1"/>
    <x v="40"/>
    <x v="2"/>
    <x v="3"/>
    <m/>
    <s v="Morning Cleaning Routine"/>
    <d v="1899-12-30T07:45:00"/>
    <m/>
    <d v="1899-12-30T08:00:00"/>
    <m/>
    <n v="0.25"/>
    <x v="0"/>
  </r>
  <r>
    <x v="3"/>
    <s v="Week of 05/03/2021"/>
    <x v="3"/>
    <s v="Early Morning"/>
    <x v="1"/>
    <x v="41"/>
    <x v="3"/>
    <x v="4"/>
    <m/>
    <s v="Daily Walkthrough"/>
    <d v="1899-12-30T08:00:00"/>
    <m/>
    <d v="1899-12-30T08:15:00"/>
    <m/>
    <n v="0.25"/>
    <x v="0"/>
  </r>
  <r>
    <x v="3"/>
    <s v="Week of 05/03/2021"/>
    <x v="4"/>
    <s v="Early Morning"/>
    <x v="2"/>
    <x v="42"/>
    <x v="4"/>
    <x v="5"/>
    <m/>
    <s v="Driving to Daily XYZ"/>
    <d v="1899-12-30T08:15:00"/>
    <m/>
    <d v="1899-12-30T09:00:00"/>
    <m/>
    <n v="0.75"/>
    <x v="0"/>
  </r>
  <r>
    <x v="3"/>
    <s v="Week of 05/03/2021"/>
    <x v="5"/>
    <s v="Morning"/>
    <x v="1"/>
    <x v="43"/>
    <x v="3"/>
    <x v="6"/>
    <m/>
    <s v="Working on Shit"/>
    <d v="1899-12-30T09:00:00"/>
    <m/>
    <d v="1899-12-30T12:00:00"/>
    <m/>
    <n v="3"/>
    <x v="0"/>
  </r>
  <r>
    <x v="3"/>
    <s v="Week of 05/03/2021"/>
    <x v="0"/>
    <s v="Afternoon"/>
    <x v="2"/>
    <x v="44"/>
    <x v="5"/>
    <x v="7"/>
    <m/>
    <s v="Fucking Joon"/>
    <d v="1899-12-30T12:00:00"/>
    <m/>
    <d v="1899-12-30T15:00:00"/>
    <m/>
    <n v="3"/>
    <x v="0"/>
  </r>
  <r>
    <x v="3"/>
    <s v="Week of 05/03/2021"/>
    <x v="6"/>
    <s v="Afternoon"/>
    <x v="1"/>
    <x v="45"/>
    <x v="3"/>
    <x v="6"/>
    <m/>
    <s v="Property Management"/>
    <d v="1899-12-30T15:00:00"/>
    <m/>
    <d v="1899-12-30T18:00:00"/>
    <m/>
    <n v="3"/>
    <x v="0"/>
  </r>
  <r>
    <x v="3"/>
    <s v="Week of 05/10/2021"/>
    <x v="1"/>
    <s v="Evening"/>
    <x v="2"/>
    <x v="46"/>
    <x v="4"/>
    <x v="5"/>
    <m/>
    <s v="Driving back to condo"/>
    <d v="1899-12-30T18:00:00"/>
    <m/>
    <d v="1899-12-30T19:00:00"/>
    <m/>
    <n v="1"/>
    <x v="0"/>
  </r>
  <r>
    <x v="3"/>
    <s v="Week of 05/10/2021"/>
    <x v="2"/>
    <s v="Evening"/>
    <x v="2"/>
    <x v="47"/>
    <x v="6"/>
    <x v="8"/>
    <m/>
    <s v="Cuddlllessss"/>
    <d v="1899-12-30T19:00:00"/>
    <m/>
    <d v="1899-12-30T21:00:00"/>
    <m/>
    <n v="2"/>
    <x v="0"/>
  </r>
  <r>
    <x v="3"/>
    <s v="Week of 05/10/2021"/>
    <x v="3"/>
    <s v="Late Evening"/>
    <x v="1"/>
    <x v="48"/>
    <x v="1"/>
    <x v="1"/>
    <m/>
    <m/>
    <d v="1899-12-30T21:00:00"/>
    <m/>
    <d v="1899-12-30T06:00:00"/>
    <m/>
    <n v="9"/>
    <x v="0"/>
  </r>
  <r>
    <x v="3"/>
    <s v="Week of 05/10/2021"/>
    <x v="4"/>
    <s v="Afternoon"/>
    <x v="2"/>
    <x v="49"/>
    <x v="4"/>
    <x v="5"/>
    <m/>
    <s v="Driving to Speakeasy"/>
    <d v="1899-12-30T16:54:00"/>
    <m/>
    <d v="1899-12-30T17:24:00"/>
    <m/>
    <n v="0.5"/>
    <x v="0"/>
  </r>
  <r>
    <x v="3"/>
    <s v="Week of 05/10/2021"/>
    <x v="5"/>
    <s v="Afternoon"/>
    <x v="1"/>
    <x v="50"/>
    <x v="3"/>
    <x v="4"/>
    <m/>
    <s v="Creating Time Tracking Excel"/>
    <d v="1899-12-30T17:24:00"/>
    <m/>
    <d v="1899-12-30T22:00:00"/>
    <m/>
    <n v="4.5999999999999996"/>
    <x v="0"/>
  </r>
  <r>
    <x v="3"/>
    <s v="Week of 05/10/2021"/>
    <x v="0"/>
    <s v="Late Evening"/>
    <x v="2"/>
    <x v="51"/>
    <x v="4"/>
    <x v="5"/>
    <m/>
    <s v="Driving back home"/>
    <d v="1899-12-30T22:00:00"/>
    <m/>
    <d v="1899-12-30T22:30:00"/>
    <m/>
    <n v="0.5"/>
    <x v="0"/>
  </r>
  <r>
    <x v="3"/>
    <s v="Week of 05/10/2021"/>
    <x v="6"/>
    <s v="Late Evening"/>
    <x v="1"/>
    <x v="52"/>
    <x v="1"/>
    <x v="1"/>
    <m/>
    <m/>
    <d v="1899-12-30T22:30:00"/>
    <m/>
    <d v="1899-12-30T06:00:00"/>
    <m/>
    <n v="7.5"/>
    <x v="0"/>
  </r>
  <r>
    <x v="3"/>
    <s v="Week of 05/17/2021"/>
    <x v="1"/>
    <s v="Early Morning"/>
    <x v="1"/>
    <x v="53"/>
    <x v="2"/>
    <x v="2"/>
    <m/>
    <s v="Biking"/>
    <d v="1899-12-30T07:00:00"/>
    <m/>
    <d v="1899-12-30T07:45:00"/>
    <m/>
    <n v="0.75"/>
    <x v="0"/>
  </r>
  <r>
    <x v="3"/>
    <s v="Week of 05/17/2021"/>
    <x v="2"/>
    <s v="Early Morning"/>
    <x v="1"/>
    <x v="54"/>
    <x v="2"/>
    <x v="3"/>
    <m/>
    <s v="Morning Cleaning Routine"/>
    <d v="1899-12-30T07:45:00"/>
    <m/>
    <d v="1899-12-30T08:00:00"/>
    <m/>
    <n v="0.25"/>
    <x v="0"/>
  </r>
  <r>
    <x v="3"/>
    <s v="Week of 05/17/2021"/>
    <x v="3"/>
    <s v="Early Morning"/>
    <x v="1"/>
    <x v="55"/>
    <x v="3"/>
    <x v="4"/>
    <m/>
    <s v="Daily Walkthrough"/>
    <d v="1899-12-30T08:00:00"/>
    <m/>
    <d v="1899-12-30T08:15:00"/>
    <m/>
    <n v="0.25"/>
    <x v="0"/>
  </r>
  <r>
    <x v="3"/>
    <s v="Week of 05/17/2021"/>
    <x v="4"/>
    <s v="Early Morning"/>
    <x v="2"/>
    <x v="56"/>
    <x v="4"/>
    <x v="5"/>
    <m/>
    <s v="Driving to Daily XYZ"/>
    <d v="1899-12-30T08:15:00"/>
    <m/>
    <d v="1899-12-30T09:00:00"/>
    <m/>
    <n v="0.75"/>
    <x v="0"/>
  </r>
  <r>
    <x v="3"/>
    <s v="Week of 05/17/2021"/>
    <x v="5"/>
    <s v="Morning"/>
    <x v="1"/>
    <x v="57"/>
    <x v="3"/>
    <x v="6"/>
    <m/>
    <s v="Working on Shit"/>
    <d v="1899-12-30T09:00:00"/>
    <m/>
    <d v="1899-12-30T12:00:00"/>
    <m/>
    <n v="3"/>
    <x v="0"/>
  </r>
  <r>
    <x v="3"/>
    <s v="Week of 05/17/2021"/>
    <x v="0"/>
    <s v="Afternoon"/>
    <x v="2"/>
    <x v="58"/>
    <x v="5"/>
    <x v="7"/>
    <m/>
    <s v="Fucking Joon"/>
    <d v="1899-12-30T12:00:00"/>
    <m/>
    <d v="1899-12-30T15:00:00"/>
    <m/>
    <n v="3"/>
    <x v="0"/>
  </r>
  <r>
    <x v="3"/>
    <s v="Week of 05/17/2021"/>
    <x v="6"/>
    <s v="Afternoon"/>
    <x v="1"/>
    <x v="59"/>
    <x v="3"/>
    <x v="6"/>
    <m/>
    <s v="Property Management"/>
    <d v="1899-12-30T15:00:00"/>
    <m/>
    <d v="1899-12-30T18:00:00"/>
    <m/>
    <n v="3"/>
    <x v="0"/>
  </r>
  <r>
    <x v="3"/>
    <s v="Week of 05/24/2021"/>
    <x v="1"/>
    <s v="Evening"/>
    <x v="2"/>
    <x v="60"/>
    <x v="4"/>
    <x v="5"/>
    <m/>
    <s v="Driving back to condo"/>
    <d v="1899-12-30T18:00:00"/>
    <m/>
    <d v="1899-12-30T19:00:00"/>
    <m/>
    <n v="1"/>
    <x v="0"/>
  </r>
  <r>
    <x v="3"/>
    <s v="Week of 05/24/2021"/>
    <x v="2"/>
    <s v="Evening"/>
    <x v="2"/>
    <x v="61"/>
    <x v="6"/>
    <x v="8"/>
    <m/>
    <s v="Cuddlllessss"/>
    <d v="1899-12-30T19:00:00"/>
    <m/>
    <d v="1899-12-30T21:00:00"/>
    <m/>
    <n v="2"/>
    <x v="0"/>
  </r>
  <r>
    <x v="3"/>
    <s v="Week of 05/24/2021"/>
    <x v="3"/>
    <s v="Late Evening"/>
    <x v="1"/>
    <x v="62"/>
    <x v="1"/>
    <x v="1"/>
    <m/>
    <m/>
    <d v="1899-12-30T21:00:00"/>
    <m/>
    <d v="1899-12-30T06:00:00"/>
    <m/>
    <n v="9"/>
    <x v="0"/>
  </r>
  <r>
    <x v="3"/>
    <s v="Week of 05/24/2021"/>
    <x v="4"/>
    <s v="Afternoon"/>
    <x v="2"/>
    <x v="63"/>
    <x v="4"/>
    <x v="5"/>
    <m/>
    <s v="Driving to Speakeasy"/>
    <d v="1899-12-30T16:54:00"/>
    <m/>
    <d v="1899-12-30T17:24:00"/>
    <m/>
    <n v="0.5"/>
    <x v="0"/>
  </r>
  <r>
    <x v="3"/>
    <s v="Week of 05/24/2021"/>
    <x v="5"/>
    <s v="Afternoon"/>
    <x v="1"/>
    <x v="64"/>
    <x v="3"/>
    <x v="4"/>
    <m/>
    <s v="Creating Time Tracking Excel"/>
    <d v="1899-12-30T17:24:00"/>
    <m/>
    <d v="1899-12-30T22:00:00"/>
    <m/>
    <n v="4.5999999999999996"/>
    <x v="0"/>
  </r>
  <r>
    <x v="3"/>
    <s v="Week of 05/24/2021"/>
    <x v="0"/>
    <s v="Late Evening"/>
    <x v="2"/>
    <x v="65"/>
    <x v="4"/>
    <x v="5"/>
    <m/>
    <s v="Driving back home"/>
    <d v="1899-12-30T22:00:00"/>
    <m/>
    <d v="1899-12-30T22:30:00"/>
    <m/>
    <n v="0.5"/>
    <x v="0"/>
  </r>
  <r>
    <x v="3"/>
    <s v="Week of 05/24/2021"/>
    <x v="6"/>
    <s v="Late Evening"/>
    <x v="1"/>
    <x v="66"/>
    <x v="1"/>
    <x v="1"/>
    <m/>
    <m/>
    <d v="1899-12-30T22:30:00"/>
    <m/>
    <d v="1899-12-30T06:00:00"/>
    <m/>
    <n v="7.5"/>
    <x v="0"/>
  </r>
  <r>
    <x v="3"/>
    <s v="Week of 05/31/2021"/>
    <x v="1"/>
    <s v="Early Morning"/>
    <x v="1"/>
    <x v="67"/>
    <x v="2"/>
    <x v="2"/>
    <m/>
    <s v="Biking"/>
    <d v="1899-12-30T07:00:00"/>
    <m/>
    <d v="1899-12-30T07:45:00"/>
    <m/>
    <n v="0.75"/>
    <x v="0"/>
  </r>
  <r>
    <x v="4"/>
    <s v="Week of 05/31/2021"/>
    <x v="2"/>
    <s v="Early Morning"/>
    <x v="1"/>
    <x v="68"/>
    <x v="2"/>
    <x v="3"/>
    <m/>
    <s v="Morning Cleaning Routine"/>
    <d v="1899-12-30T07:45:00"/>
    <m/>
    <d v="1899-12-30T08:00:00"/>
    <m/>
    <n v="0.25"/>
    <x v="0"/>
  </r>
  <r>
    <x v="4"/>
    <s v="Week of 05/31/2021"/>
    <x v="3"/>
    <s v="Early Morning"/>
    <x v="1"/>
    <x v="69"/>
    <x v="3"/>
    <x v="4"/>
    <m/>
    <s v="Daily Walkthrough"/>
    <d v="1899-12-30T08:00:00"/>
    <m/>
    <d v="1899-12-30T08:15:00"/>
    <m/>
    <n v="0.25"/>
    <x v="0"/>
  </r>
  <r>
    <x v="4"/>
    <s v="Week of 05/31/2021"/>
    <x v="4"/>
    <s v="Early Morning"/>
    <x v="2"/>
    <x v="70"/>
    <x v="4"/>
    <x v="5"/>
    <m/>
    <s v="Driving to Daily XYZ"/>
    <d v="1899-12-30T08:15:00"/>
    <m/>
    <d v="1899-12-30T09:00:00"/>
    <m/>
    <n v="0.75"/>
    <x v="0"/>
  </r>
  <r>
    <x v="4"/>
    <s v="Week of 05/31/2021"/>
    <x v="5"/>
    <s v="Morning"/>
    <x v="1"/>
    <x v="71"/>
    <x v="3"/>
    <x v="6"/>
    <m/>
    <s v="Working on Shit"/>
    <d v="1899-12-30T09:00:00"/>
    <m/>
    <d v="1899-12-30T12:00:00"/>
    <m/>
    <n v="3"/>
    <x v="0"/>
  </r>
  <r>
    <x v="4"/>
    <s v="Week of 05/31/2021"/>
    <x v="0"/>
    <s v="Afternoon"/>
    <x v="2"/>
    <x v="72"/>
    <x v="5"/>
    <x v="7"/>
    <m/>
    <s v="Fucking Joon"/>
    <d v="1899-12-30T12:00:00"/>
    <m/>
    <d v="1899-12-30T15:00:00"/>
    <m/>
    <n v="3"/>
    <x v="0"/>
  </r>
  <r>
    <x v="4"/>
    <s v="Week of 05/31/2021"/>
    <x v="6"/>
    <s v="Afternoon"/>
    <x v="1"/>
    <x v="73"/>
    <x v="3"/>
    <x v="6"/>
    <m/>
    <s v="Property Management"/>
    <d v="1899-12-30T15:00:00"/>
    <m/>
    <d v="1899-12-30T18:00:00"/>
    <m/>
    <n v="3"/>
    <x v="0"/>
  </r>
  <r>
    <x v="4"/>
    <s v="Week of 06/07/2021"/>
    <x v="1"/>
    <s v="Evening"/>
    <x v="2"/>
    <x v="74"/>
    <x v="4"/>
    <x v="5"/>
    <m/>
    <s v="Driving back to condo"/>
    <d v="1899-12-30T18:00:00"/>
    <m/>
    <d v="1899-12-30T19:00:00"/>
    <m/>
    <n v="1"/>
    <x v="0"/>
  </r>
  <r>
    <x v="4"/>
    <s v="Week of 06/07/2021"/>
    <x v="2"/>
    <s v="Evening"/>
    <x v="2"/>
    <x v="75"/>
    <x v="6"/>
    <x v="8"/>
    <m/>
    <s v="Cuddlllessss"/>
    <d v="1899-12-30T19:00:00"/>
    <m/>
    <d v="1899-12-30T21:00:00"/>
    <m/>
    <n v="2"/>
    <x v="0"/>
  </r>
  <r>
    <x v="4"/>
    <s v="Week of 06/07/2021"/>
    <x v="3"/>
    <s v="Late Evening"/>
    <x v="1"/>
    <x v="76"/>
    <x v="1"/>
    <x v="1"/>
    <m/>
    <m/>
    <d v="1899-12-30T21:00:00"/>
    <m/>
    <d v="1899-12-30T06:00:00"/>
    <m/>
    <n v="9"/>
    <x v="0"/>
  </r>
  <r>
    <x v="4"/>
    <s v="Week of 06/07/2021"/>
    <x v="4"/>
    <s v="Afternoon"/>
    <x v="2"/>
    <x v="77"/>
    <x v="4"/>
    <x v="5"/>
    <m/>
    <s v="Driving to Speakeasy"/>
    <d v="1899-12-30T16:54:00"/>
    <m/>
    <d v="1899-12-30T17:24:00"/>
    <m/>
    <n v="0.5"/>
    <x v="0"/>
  </r>
  <r>
    <x v="4"/>
    <s v="Week of 06/07/2021"/>
    <x v="5"/>
    <s v="Afternoon"/>
    <x v="1"/>
    <x v="78"/>
    <x v="3"/>
    <x v="4"/>
    <m/>
    <s v="Creating Time Tracking Excel"/>
    <d v="1899-12-30T17:24:00"/>
    <m/>
    <d v="1899-12-30T22:00:00"/>
    <m/>
    <n v="4.5999999999999996"/>
    <x v="0"/>
  </r>
  <r>
    <x v="4"/>
    <s v="Week of 06/07/2021"/>
    <x v="0"/>
    <s v="Late Evening"/>
    <x v="2"/>
    <x v="79"/>
    <x v="4"/>
    <x v="5"/>
    <m/>
    <s v="Driving back home"/>
    <d v="1899-12-30T22:00:00"/>
    <m/>
    <d v="1899-12-30T22:30:00"/>
    <m/>
    <n v="0.5"/>
    <x v="0"/>
  </r>
  <r>
    <x v="4"/>
    <s v="Week of 06/07/2021"/>
    <x v="6"/>
    <s v="Late Evening"/>
    <x v="1"/>
    <x v="80"/>
    <x v="1"/>
    <x v="1"/>
    <m/>
    <m/>
    <d v="1899-12-30T22:30:00"/>
    <m/>
    <d v="1899-12-30T06:00:00"/>
    <m/>
    <n v="7.5"/>
    <x v="0"/>
  </r>
  <r>
    <x v="4"/>
    <s v="Week of 06/14/2021"/>
    <x v="1"/>
    <s v="Early Morning"/>
    <x v="1"/>
    <x v="81"/>
    <x v="2"/>
    <x v="2"/>
    <m/>
    <s v="Biking"/>
    <d v="1899-12-30T07:00:00"/>
    <m/>
    <d v="1899-12-30T07:45:00"/>
    <m/>
    <n v="0.75"/>
    <x v="0"/>
  </r>
  <r>
    <x v="4"/>
    <s v="Week of 06/14/2021"/>
    <x v="2"/>
    <s v="Early Morning"/>
    <x v="1"/>
    <x v="82"/>
    <x v="2"/>
    <x v="3"/>
    <m/>
    <s v="Morning Cleaning Routine"/>
    <d v="1899-12-30T07:45:00"/>
    <m/>
    <d v="1899-12-30T08:00:00"/>
    <m/>
    <n v="0.25"/>
    <x v="0"/>
  </r>
  <r>
    <x v="4"/>
    <s v="Week of 06/14/2021"/>
    <x v="3"/>
    <s v="Early Morning"/>
    <x v="1"/>
    <x v="83"/>
    <x v="3"/>
    <x v="4"/>
    <m/>
    <s v="Daily Walkthrough"/>
    <d v="1899-12-30T08:00:00"/>
    <m/>
    <d v="1899-12-30T08:15:00"/>
    <m/>
    <n v="0.25"/>
    <x v="0"/>
  </r>
  <r>
    <x v="4"/>
    <s v="Week of 06/14/2021"/>
    <x v="4"/>
    <s v="Early Morning"/>
    <x v="2"/>
    <x v="84"/>
    <x v="4"/>
    <x v="5"/>
    <m/>
    <s v="Driving to Daily XYZ"/>
    <d v="1899-12-30T08:15:00"/>
    <m/>
    <d v="1899-12-30T09:00:00"/>
    <m/>
    <n v="0.75"/>
    <x v="0"/>
  </r>
  <r>
    <x v="4"/>
    <s v="Week of 06/14/2021"/>
    <x v="5"/>
    <s v="Morning"/>
    <x v="1"/>
    <x v="85"/>
    <x v="3"/>
    <x v="6"/>
    <m/>
    <s v="Working on Shit"/>
    <d v="1899-12-30T09:00:00"/>
    <m/>
    <d v="1899-12-30T12:00:00"/>
    <m/>
    <n v="3"/>
    <x v="0"/>
  </r>
  <r>
    <x v="4"/>
    <s v="Week of 06/14/2021"/>
    <x v="0"/>
    <s v="Afternoon"/>
    <x v="2"/>
    <x v="86"/>
    <x v="5"/>
    <x v="7"/>
    <m/>
    <s v="Fucking Joon"/>
    <d v="1899-12-30T12:00:00"/>
    <m/>
    <d v="1899-12-30T15:00:00"/>
    <m/>
    <n v="3"/>
    <x v="0"/>
  </r>
  <r>
    <x v="4"/>
    <s v="Week of 06/14/2021"/>
    <x v="6"/>
    <s v="Afternoon"/>
    <x v="1"/>
    <x v="87"/>
    <x v="3"/>
    <x v="6"/>
    <m/>
    <s v="Property Management"/>
    <d v="1899-12-30T15:00:00"/>
    <m/>
    <d v="1899-12-30T18:00:00"/>
    <m/>
    <n v="3"/>
    <x v="0"/>
  </r>
  <r>
    <x v="4"/>
    <s v="Week of 06/21/2021"/>
    <x v="1"/>
    <s v="Evening"/>
    <x v="2"/>
    <x v="88"/>
    <x v="4"/>
    <x v="5"/>
    <m/>
    <s v="Driving back to condo"/>
    <d v="1899-12-30T18:00:00"/>
    <m/>
    <d v="1899-12-30T19:00:00"/>
    <m/>
    <n v="1"/>
    <x v="0"/>
  </r>
  <r>
    <x v="4"/>
    <s v="Week of 06/21/2021"/>
    <x v="2"/>
    <s v="Evening"/>
    <x v="2"/>
    <x v="89"/>
    <x v="6"/>
    <x v="8"/>
    <m/>
    <s v="Cuddlllessss"/>
    <d v="1899-12-30T19:00:00"/>
    <m/>
    <d v="1899-12-30T21:00:00"/>
    <m/>
    <n v="2"/>
    <x v="0"/>
  </r>
  <r>
    <x v="4"/>
    <s v="Week of 06/21/2021"/>
    <x v="3"/>
    <s v="Late Evening"/>
    <x v="1"/>
    <x v="90"/>
    <x v="1"/>
    <x v="1"/>
    <m/>
    <m/>
    <d v="1899-12-30T21:00:00"/>
    <m/>
    <d v="1899-12-30T06:00:00"/>
    <m/>
    <n v="9"/>
    <x v="0"/>
  </r>
  <r>
    <x v="4"/>
    <s v="Week of 06/21/2021"/>
    <x v="4"/>
    <s v="Afternoon"/>
    <x v="2"/>
    <x v="91"/>
    <x v="4"/>
    <x v="5"/>
    <m/>
    <s v="Driving to Speakeasy"/>
    <d v="1899-12-30T16:54:00"/>
    <m/>
    <d v="1899-12-30T17:24:00"/>
    <m/>
    <n v="0.5"/>
    <x v="0"/>
  </r>
  <r>
    <x v="4"/>
    <s v="Week of 06/21/2021"/>
    <x v="5"/>
    <s v="Afternoon"/>
    <x v="1"/>
    <x v="92"/>
    <x v="3"/>
    <x v="4"/>
    <m/>
    <s v="Creating Time Tracking Excel"/>
    <d v="1899-12-30T17:24:00"/>
    <m/>
    <d v="1899-12-30T22:00:00"/>
    <m/>
    <n v="4.5999999999999996"/>
    <x v="0"/>
  </r>
  <r>
    <x v="4"/>
    <s v="Week of 06/21/2021"/>
    <x v="0"/>
    <s v="Late Evening"/>
    <x v="2"/>
    <x v="93"/>
    <x v="4"/>
    <x v="5"/>
    <m/>
    <s v="Driving back home"/>
    <d v="1899-12-30T22:00:00"/>
    <m/>
    <d v="1899-12-30T22:30:00"/>
    <m/>
    <n v="0.5"/>
    <x v="0"/>
  </r>
  <r>
    <x v="4"/>
    <s v="Week of 06/21/2021"/>
    <x v="6"/>
    <s v="Late Evening"/>
    <x v="1"/>
    <x v="94"/>
    <x v="1"/>
    <x v="1"/>
    <m/>
    <m/>
    <d v="1899-12-30T22:30:00"/>
    <m/>
    <d v="1899-12-30T06:00:00"/>
    <m/>
    <n v="7.5"/>
    <x v="0"/>
  </r>
  <r>
    <x v="4"/>
    <s v="Week of 06/28/2021"/>
    <x v="1"/>
    <s v="Early Morning"/>
    <x v="1"/>
    <x v="95"/>
    <x v="2"/>
    <x v="2"/>
    <m/>
    <s v="Biking"/>
    <d v="1899-12-30T07:00:00"/>
    <m/>
    <d v="1899-12-30T07:45:00"/>
    <m/>
    <n v="0.75"/>
    <x v="0"/>
  </r>
  <r>
    <x v="4"/>
    <s v="Week of 06/28/2021"/>
    <x v="2"/>
    <s v="Early Morning"/>
    <x v="1"/>
    <x v="96"/>
    <x v="2"/>
    <x v="3"/>
    <m/>
    <s v="Morning Cleaning Routine"/>
    <d v="1899-12-30T07:45:00"/>
    <m/>
    <d v="1899-12-30T08:00:00"/>
    <m/>
    <n v="0.25"/>
    <x v="0"/>
  </r>
  <r>
    <x v="4"/>
    <s v="Week of 06/28/2021"/>
    <x v="3"/>
    <s v="Early Morning"/>
    <x v="1"/>
    <x v="97"/>
    <x v="3"/>
    <x v="4"/>
    <m/>
    <s v="Daily Walkthrough"/>
    <d v="1899-12-30T08:00:00"/>
    <m/>
    <d v="1899-12-30T08:15:00"/>
    <m/>
    <n v="0.25"/>
    <x v="0"/>
  </r>
  <r>
    <x v="5"/>
    <s v="Week of 06/28/2021"/>
    <x v="4"/>
    <s v="Early Morning"/>
    <x v="2"/>
    <x v="98"/>
    <x v="4"/>
    <x v="5"/>
    <m/>
    <s v="Driving to Daily XYZ"/>
    <d v="1899-12-30T08:15:00"/>
    <m/>
    <d v="1899-12-30T09:00:00"/>
    <m/>
    <n v="0.75"/>
    <x v="0"/>
  </r>
  <r>
    <x v="5"/>
    <s v="Week of 06/28/2021"/>
    <x v="5"/>
    <s v="Morning"/>
    <x v="1"/>
    <x v="99"/>
    <x v="3"/>
    <x v="6"/>
    <m/>
    <s v="Working on Shit"/>
    <d v="1899-12-30T09:00:00"/>
    <m/>
    <d v="1899-12-30T12:00:00"/>
    <m/>
    <n v="3"/>
    <x v="0"/>
  </r>
  <r>
    <x v="5"/>
    <s v="Week of 06/28/2021"/>
    <x v="0"/>
    <s v="Afternoon"/>
    <x v="2"/>
    <x v="100"/>
    <x v="5"/>
    <x v="7"/>
    <m/>
    <s v="Fucking Joon"/>
    <d v="1899-12-30T12:00:00"/>
    <m/>
    <d v="1899-12-30T15:00:00"/>
    <m/>
    <n v="3"/>
    <x v="0"/>
  </r>
  <r>
    <x v="5"/>
    <s v="Week of 06/28/2021"/>
    <x v="6"/>
    <s v="Afternoon"/>
    <x v="1"/>
    <x v="101"/>
    <x v="3"/>
    <x v="6"/>
    <m/>
    <s v="Property Management"/>
    <d v="1899-12-30T15:00:00"/>
    <m/>
    <d v="1899-12-30T18:00:00"/>
    <m/>
    <n v="3"/>
    <x v="0"/>
  </r>
  <r>
    <x v="5"/>
    <s v="Week of 07/05/2021"/>
    <x v="1"/>
    <s v="Evening"/>
    <x v="2"/>
    <x v="102"/>
    <x v="4"/>
    <x v="5"/>
    <m/>
    <s v="Driving back to condo"/>
    <d v="1899-12-30T18:00:00"/>
    <m/>
    <d v="1899-12-30T19:00:00"/>
    <m/>
    <n v="1"/>
    <x v="0"/>
  </r>
  <r>
    <x v="5"/>
    <s v="Week of 07/05/2021"/>
    <x v="2"/>
    <s v="Evening"/>
    <x v="2"/>
    <x v="103"/>
    <x v="6"/>
    <x v="8"/>
    <m/>
    <s v="Cuddlllessss"/>
    <d v="1899-12-30T19:00:00"/>
    <m/>
    <d v="1899-12-30T21:00:00"/>
    <m/>
    <n v="2"/>
    <x v="0"/>
  </r>
  <r>
    <x v="5"/>
    <s v="Week of 07/05/2021"/>
    <x v="3"/>
    <s v="Late Evening"/>
    <x v="1"/>
    <x v="104"/>
    <x v="1"/>
    <x v="1"/>
    <m/>
    <m/>
    <d v="1899-12-30T21:00:00"/>
    <m/>
    <d v="1899-12-30T06:00:00"/>
    <m/>
    <n v="9"/>
    <x v="0"/>
  </r>
  <r>
    <x v="5"/>
    <s v="Week of 07/05/2021"/>
    <x v="4"/>
    <s v="Afternoon"/>
    <x v="2"/>
    <x v="105"/>
    <x v="4"/>
    <x v="5"/>
    <m/>
    <s v="Driving to Speakeasy"/>
    <d v="1899-12-30T16:54:00"/>
    <m/>
    <d v="1899-12-30T17:24:00"/>
    <m/>
    <n v="0.5"/>
    <x v="0"/>
  </r>
  <r>
    <x v="5"/>
    <s v="Week of 07/05/2021"/>
    <x v="5"/>
    <s v="Afternoon"/>
    <x v="1"/>
    <x v="106"/>
    <x v="3"/>
    <x v="4"/>
    <m/>
    <s v="Creating Time Tracking Excel"/>
    <d v="1899-12-30T17:24:00"/>
    <m/>
    <d v="1899-12-30T22:00:00"/>
    <m/>
    <n v="4.5999999999999996"/>
    <x v="0"/>
  </r>
  <r>
    <x v="5"/>
    <s v="Week of 07/05/2021"/>
    <x v="0"/>
    <s v="Late Evening"/>
    <x v="2"/>
    <x v="107"/>
    <x v="4"/>
    <x v="5"/>
    <m/>
    <s v="Driving back home"/>
    <d v="1899-12-30T22:00:00"/>
    <m/>
    <d v="1899-12-30T22:30:00"/>
    <m/>
    <n v="0.5"/>
    <x v="0"/>
  </r>
  <r>
    <x v="5"/>
    <s v="Week of 07/05/2021"/>
    <x v="6"/>
    <s v="Late Evening"/>
    <x v="1"/>
    <x v="108"/>
    <x v="1"/>
    <x v="1"/>
    <m/>
    <m/>
    <d v="1899-12-30T22:30:00"/>
    <m/>
    <d v="1899-12-30T06:00:00"/>
    <m/>
    <n v="7.5"/>
    <x v="0"/>
  </r>
  <r>
    <x v="5"/>
    <s v="Week of 07/12/2021"/>
    <x v="1"/>
    <s v="Early Morning"/>
    <x v="1"/>
    <x v="109"/>
    <x v="2"/>
    <x v="2"/>
    <m/>
    <s v="Biking"/>
    <d v="1899-12-30T07:00:00"/>
    <m/>
    <d v="1899-12-30T07:45:00"/>
    <m/>
    <n v="0.75"/>
    <x v="0"/>
  </r>
  <r>
    <x v="5"/>
    <s v="Week of 07/12/2021"/>
    <x v="2"/>
    <s v="Early Morning"/>
    <x v="1"/>
    <x v="110"/>
    <x v="2"/>
    <x v="3"/>
    <m/>
    <s v="Morning Cleaning Routine"/>
    <d v="1899-12-30T07:45:00"/>
    <m/>
    <d v="1899-12-30T08:00:00"/>
    <m/>
    <n v="0.25"/>
    <x v="0"/>
  </r>
  <r>
    <x v="5"/>
    <s v="Week of 07/12/2021"/>
    <x v="3"/>
    <s v="Early Morning"/>
    <x v="1"/>
    <x v="111"/>
    <x v="3"/>
    <x v="4"/>
    <m/>
    <s v="Daily Walkthrough"/>
    <d v="1899-12-30T08:00:00"/>
    <m/>
    <d v="1899-12-30T08:15:00"/>
    <m/>
    <n v="0.25"/>
    <x v="0"/>
  </r>
  <r>
    <x v="5"/>
    <s v="Week of 07/12/2021"/>
    <x v="4"/>
    <s v="Early Morning"/>
    <x v="2"/>
    <x v="112"/>
    <x v="4"/>
    <x v="5"/>
    <m/>
    <s v="Driving to Daily XYZ"/>
    <d v="1899-12-30T08:15:00"/>
    <m/>
    <d v="1899-12-30T09:00:00"/>
    <m/>
    <n v="0.75"/>
    <x v="0"/>
  </r>
  <r>
    <x v="5"/>
    <s v="Week of 07/12/2021"/>
    <x v="5"/>
    <s v="Morning"/>
    <x v="1"/>
    <x v="113"/>
    <x v="3"/>
    <x v="6"/>
    <m/>
    <s v="Working on Shit"/>
    <d v="1899-12-30T09:00:00"/>
    <m/>
    <d v="1899-12-30T12:00:00"/>
    <m/>
    <n v="3"/>
    <x v="0"/>
  </r>
  <r>
    <x v="5"/>
    <s v="Week of 07/12/2021"/>
    <x v="0"/>
    <s v="Afternoon"/>
    <x v="2"/>
    <x v="114"/>
    <x v="5"/>
    <x v="7"/>
    <m/>
    <s v="Fucking Joon"/>
    <d v="1899-12-30T12:00:00"/>
    <m/>
    <d v="1899-12-30T15:00:00"/>
    <m/>
    <n v="3"/>
    <x v="0"/>
  </r>
  <r>
    <x v="5"/>
    <s v="Week of 07/12/2021"/>
    <x v="6"/>
    <s v="Afternoon"/>
    <x v="1"/>
    <x v="115"/>
    <x v="3"/>
    <x v="6"/>
    <m/>
    <s v="Property Management"/>
    <d v="1899-12-30T15:00:00"/>
    <m/>
    <d v="1899-12-30T18:00:00"/>
    <m/>
    <n v="3"/>
    <x v="0"/>
  </r>
  <r>
    <x v="5"/>
    <s v="Week of 07/19/2021"/>
    <x v="1"/>
    <s v="Evening"/>
    <x v="2"/>
    <x v="116"/>
    <x v="4"/>
    <x v="5"/>
    <m/>
    <s v="Driving back to condo"/>
    <d v="1899-12-30T18:00:00"/>
    <m/>
    <d v="1899-12-30T19:00:00"/>
    <m/>
    <n v="1"/>
    <x v="0"/>
  </r>
  <r>
    <x v="5"/>
    <s v="Week of 07/19/2021"/>
    <x v="2"/>
    <s v="Evening"/>
    <x v="2"/>
    <x v="117"/>
    <x v="6"/>
    <x v="8"/>
    <m/>
    <s v="Cuddlllessss"/>
    <d v="1899-12-30T19:00:00"/>
    <m/>
    <d v="1899-12-30T21:00:00"/>
    <m/>
    <n v="2"/>
    <x v="0"/>
  </r>
  <r>
    <x v="5"/>
    <s v="Week of 07/19/2021"/>
    <x v="3"/>
    <s v="Late Evening"/>
    <x v="1"/>
    <x v="118"/>
    <x v="1"/>
    <x v="1"/>
    <m/>
    <m/>
    <d v="1899-12-30T21:00:00"/>
    <m/>
    <d v="1899-12-30T06:00:00"/>
    <m/>
    <n v="9"/>
    <x v="0"/>
  </r>
  <r>
    <x v="0"/>
    <s v=""/>
    <x v="0"/>
    <s v=""/>
    <x v="0"/>
    <x v="0"/>
    <x v="0"/>
    <x v="0"/>
    <m/>
    <m/>
    <m/>
    <m/>
    <m/>
    <m/>
    <n v="0"/>
    <x v="0"/>
  </r>
  <r>
    <x v="0"/>
    <s v=""/>
    <x v="0"/>
    <s v=""/>
    <x v="0"/>
    <x v="0"/>
    <x v="0"/>
    <x v="0"/>
    <m/>
    <m/>
    <m/>
    <m/>
    <m/>
    <m/>
    <n v="0"/>
    <x v="0"/>
  </r>
  <r>
    <x v="0"/>
    <s v=""/>
    <x v="0"/>
    <s v=""/>
    <x v="0"/>
    <x v="0"/>
    <x v="0"/>
    <x v="0"/>
    <m/>
    <m/>
    <m/>
    <m/>
    <m/>
    <m/>
    <n v="0"/>
    <x v="0"/>
  </r>
  <r>
    <x v="0"/>
    <s v=""/>
    <x v="0"/>
    <s v=""/>
    <x v="0"/>
    <x v="0"/>
    <x v="0"/>
    <x v="0"/>
    <m/>
    <m/>
    <m/>
    <m/>
    <m/>
    <m/>
    <n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r>
  <r>
    <x v="1"/>
    <x v="1"/>
    <x v="1"/>
  </r>
  <r>
    <x v="1"/>
    <x v="1"/>
    <x v="2"/>
  </r>
  <r>
    <x v="1"/>
    <x v="2"/>
    <x v="3"/>
  </r>
  <r>
    <x v="1"/>
    <x v="2"/>
    <x v="4"/>
  </r>
  <r>
    <x v="1"/>
    <x v="2"/>
    <x v="5"/>
  </r>
  <r>
    <x v="1"/>
    <x v="2"/>
    <x v="6"/>
  </r>
  <r>
    <x v="1"/>
    <x v="3"/>
    <x v="7"/>
  </r>
  <r>
    <x v="1"/>
    <x v="3"/>
    <x v="8"/>
  </r>
  <r>
    <x v="1"/>
    <x v="4"/>
    <x v="9"/>
  </r>
  <r>
    <x v="1"/>
    <x v="4"/>
    <x v="10"/>
  </r>
  <r>
    <x v="1"/>
    <x v="4"/>
    <x v="11"/>
  </r>
  <r>
    <x v="1"/>
    <x v="5"/>
    <x v="12"/>
  </r>
  <r>
    <x v="1"/>
    <x v="5"/>
    <x v="13"/>
  </r>
  <r>
    <x v="1"/>
    <x v="5"/>
    <x v="14"/>
  </r>
  <r>
    <x v="1"/>
    <x v="5"/>
    <x v="15"/>
  </r>
  <r>
    <x v="1"/>
    <x v="6"/>
    <x v="16"/>
  </r>
  <r>
    <x v="1"/>
    <x v="6"/>
    <x v="17"/>
  </r>
  <r>
    <x v="1"/>
    <x v="6"/>
    <x v="18"/>
  </r>
  <r>
    <x v="1"/>
    <x v="6"/>
    <x v="19"/>
  </r>
  <r>
    <x v="1"/>
    <x v="6"/>
    <x v="20"/>
  </r>
  <r>
    <x v="1"/>
    <x v="7"/>
    <x v="21"/>
  </r>
  <r>
    <x v="1"/>
    <x v="7"/>
    <x v="22"/>
  </r>
  <r>
    <x v="1"/>
    <x v="8"/>
    <x v="23"/>
  </r>
  <r>
    <x v="1"/>
    <x v="8"/>
    <x v="24"/>
  </r>
  <r>
    <x v="1"/>
    <x v="7"/>
    <x v="25"/>
  </r>
  <r>
    <x v="1"/>
    <x v="9"/>
    <x v="26"/>
  </r>
  <r>
    <x v="1"/>
    <x v="9"/>
    <x v="27"/>
  </r>
  <r>
    <x v="1"/>
    <x v="10"/>
    <x v="28"/>
  </r>
  <r>
    <x v="1"/>
    <x v="10"/>
    <x v="29"/>
  </r>
  <r>
    <x v="1"/>
    <x v="10"/>
    <x v="30"/>
  </r>
  <r>
    <x v="1"/>
    <x v="11"/>
    <x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utoFormatId="4117" applyNumberFormats="1" applyBorderFormats="1" applyFontFormats="1" applyPatternFormats="1" applyAlignmentFormats="1" applyWidthHeightFormats="1" dataCaption="Data" updatedVersion="6" minRefreshableVersion="3" showMemberPropertyTips="0" useAutoFormatting="1" rowGrandTotals="0" colGrandTotals="0" itemPrintTitles="1" createdVersion="4" indent="0" compact="0" compactData="0" gridDropZones="1" chartFormat="6">
  <location ref="A6:B12" firstHeaderRow="1" firstDataRow="1" firstDataCol="1" rowPageCount="1" colPageCount="1"/>
  <pivotFields count="18">
    <pivotField axis="axisPage" compact="0" outline="0" multipleItemSelectionAllowed="1" showAll="0" defaultSubtotal="0">
      <items count="6">
        <item x="1"/>
        <item x="2"/>
        <item h="1" x="3"/>
        <item h="1" x="4"/>
        <item h="1" x="5"/>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includeNewItemsInFilter="1"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extLst>
        <ext xmlns:x14="http://schemas.microsoft.com/office/spreadsheetml/2009/9/main" uri="{2946ED86-A175-432a-8AC1-64E0C546D7DE}">
          <x14:pivotField fillDownLabels="1"/>
        </ext>
      </extLst>
    </pivotField>
    <pivotField axis="axisRow" compact="0" outline="0" showAll="0" includeNewItemsInFilter="1" defaultSubtotal="0">
      <items count="7">
        <item x="3"/>
        <item x="2"/>
        <item x="6"/>
        <item x="5"/>
        <item x="4"/>
        <item x="0"/>
        <item x="1"/>
      </items>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4" outline="0" showAll="0" defaultSubtotal="0">
      <extLst>
        <ext xmlns:x14="http://schemas.microsoft.com/office/spreadsheetml/2009/9/main" uri="{2946ED86-A175-432a-8AC1-64E0C546D7DE}">
          <x14:pivotField fillDownLabels="1"/>
        </ext>
      </extLst>
    </pivotField>
    <pivotField compact="0" outline="0" showAll="0" defaultSubtotal="0">
      <items count="2">
        <item x="0"/>
        <item x="1"/>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1">
    <field x="6"/>
  </rowFields>
  <rowItems count="6">
    <i>
      <x/>
    </i>
    <i>
      <x v="1"/>
    </i>
    <i>
      <x v="2"/>
    </i>
    <i>
      <x v="3"/>
    </i>
    <i>
      <x v="4"/>
    </i>
    <i>
      <x v="6"/>
    </i>
  </rowItems>
  <colItems count="1">
    <i/>
  </colItems>
  <pageFields count="1">
    <pageField fld="0" hier="-1"/>
  </pageFields>
  <dataFields count="1">
    <dataField name="Sum of Hours" fld="14" baseField="0" baseItem="0"/>
  </dataFields>
  <formats count="5">
    <format dxfId="42">
      <pivotArea outline="0" collapsedLevelsAreSubtotals="1" fieldPosition="0"/>
    </format>
    <format dxfId="41">
      <pivotArea outline="0" collapsedLevelsAreSubtotals="1" fieldPosition="0"/>
    </format>
    <format dxfId="40">
      <pivotArea dataOnly="0" labelOnly="1" outline="0" fieldPosition="0">
        <references count="1">
          <reference field="6" count="6">
            <x v="0"/>
            <x v="1"/>
            <x v="2"/>
            <x v="3"/>
            <x v="4"/>
            <x v="6"/>
          </reference>
        </references>
      </pivotArea>
    </format>
    <format dxfId="39">
      <pivotArea field="6" type="button" dataOnly="0" labelOnly="1" outline="0" axis="axisRow" fieldPosition="0"/>
    </format>
    <format dxfId="38">
      <pivotArea dataOnly="0" labelOnly="1" grandCol="1" outline="0" axis="axisCol" fieldPosition="0"/>
    </format>
  </formats>
  <chartFormats count="11">
    <chartFormat chart="2" format="25" series="1">
      <pivotArea type="data" outline="0" fieldPosition="0">
        <references count="1">
          <reference field="4294967294" count="1" selected="0">
            <x v="0"/>
          </reference>
        </references>
      </pivotArea>
    </chartFormat>
    <chartFormat chart="2" format="27">
      <pivotArea type="data" outline="0" fieldPosition="0">
        <references count="2">
          <reference field="4294967294" count="1" selected="0">
            <x v="0"/>
          </reference>
          <reference field="6" count="1" selected="0">
            <x v="0"/>
          </reference>
        </references>
      </pivotArea>
    </chartFormat>
    <chartFormat chart="2" format="28">
      <pivotArea type="data" outline="0" fieldPosition="0">
        <references count="2">
          <reference field="4294967294" count="1" selected="0">
            <x v="0"/>
          </reference>
          <reference field="6" count="1" selected="0">
            <x v="1"/>
          </reference>
        </references>
      </pivotArea>
    </chartFormat>
    <chartFormat chart="2" format="29">
      <pivotArea type="data" outline="0" fieldPosition="0">
        <references count="2">
          <reference field="4294967294" count="1" selected="0">
            <x v="0"/>
          </reference>
          <reference field="6" count="1" selected="0">
            <x v="2"/>
          </reference>
        </references>
      </pivotArea>
    </chartFormat>
    <chartFormat chart="2" format="30">
      <pivotArea type="data" outline="0" fieldPosition="0">
        <references count="2">
          <reference field="4294967294" count="1" selected="0">
            <x v="0"/>
          </reference>
          <reference field="6" count="1" selected="0">
            <x v="3"/>
          </reference>
        </references>
      </pivotArea>
    </chartFormat>
    <chartFormat chart="2" format="31" series="1">
      <pivotArea type="data" outline="0" fieldPosition="0">
        <references count="2">
          <reference field="4294967294" count="1" selected="0">
            <x v="0"/>
          </reference>
          <reference field="6" count="1" selected="0">
            <x v="0"/>
          </reference>
        </references>
      </pivotArea>
    </chartFormat>
    <chartFormat chart="2" format="32" series="1">
      <pivotArea type="data" outline="0" fieldPosition="0">
        <references count="2">
          <reference field="4294967294" count="1" selected="0">
            <x v="0"/>
          </reference>
          <reference field="6" count="1" selected="0">
            <x v="1"/>
          </reference>
        </references>
      </pivotArea>
    </chartFormat>
    <chartFormat chart="2" format="33" series="1">
      <pivotArea type="data" outline="0" fieldPosition="0">
        <references count="2">
          <reference field="4294967294" count="1" selected="0">
            <x v="0"/>
          </reference>
          <reference field="6" count="1" selected="0">
            <x v="2"/>
          </reference>
        </references>
      </pivotArea>
    </chartFormat>
    <chartFormat chart="2" format="34" series="1">
      <pivotArea type="data" outline="0" fieldPosition="0">
        <references count="2">
          <reference field="4294967294" count="1" selected="0">
            <x v="0"/>
          </reference>
          <reference field="6" count="1" selected="0">
            <x v="3"/>
          </reference>
        </references>
      </pivotArea>
    </chartFormat>
    <chartFormat chart="2" format="35">
      <pivotArea type="data" outline="0" fieldPosition="0">
        <references count="2">
          <reference field="4294967294" count="1" selected="0">
            <x v="0"/>
          </reference>
          <reference field="6" count="1" selected="0">
            <x v="4"/>
          </reference>
        </references>
      </pivotArea>
    </chartFormat>
    <chartFormat chart="2" format="44">
      <pivotArea type="data" outline="0" fieldPosition="0">
        <references count="2">
          <reference field="4294967294" count="1" selected="0">
            <x v="0"/>
          </reference>
          <reference field="6" count="1" selected="0">
            <x v="6"/>
          </reference>
        </references>
      </pivotArea>
    </chartFormat>
  </chart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792821-F04E-4BF6-A57E-73DC477A8D37}" name="PivotTable2" cacheId="0" autoFormatId="4117" applyNumberFormats="1" applyBorderFormats="1" applyFontFormats="1" applyPatternFormats="1" applyAlignmentFormats="1" applyWidthHeightFormats="1" dataCaption="Data" updatedVersion="6" minRefreshableVersion="3" showMemberPropertyTips="0" useAutoFormatting="1" rowGrandTotals="0" colGrandTotals="0" itemPrintTitles="1" createdVersion="4" indent="0" compact="0" compactData="0" gridDropZones="1" chartFormat="6">
  <location ref="A6:B14" firstHeaderRow="1" firstDataRow="1" firstDataCol="1" rowPageCount="1" colPageCount="1"/>
  <pivotFields count="18">
    <pivotField axis="axisPage" compact="0" outline="0" multipleItemSelectionAllowed="1" showAll="0" defaultSubtotal="0">
      <items count="6">
        <item x="1"/>
        <item x="2"/>
        <item h="1" x="3"/>
        <item h="1" x="4"/>
        <item h="1" x="5"/>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includeNewItemsInFilter="1"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axis="axisRow" compact="0" outline="0" showAll="0" includeNewItemsInFilter="1" defaultSubtotal="0">
      <items count="9">
        <item x="1"/>
        <item x="2"/>
        <item x="3"/>
        <item x="7"/>
        <item x="8"/>
        <item x="5"/>
        <item x="4"/>
        <item x="6"/>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4" outline="0" showAll="0" defaultSubtotal="0">
      <extLst>
        <ext xmlns:x14="http://schemas.microsoft.com/office/spreadsheetml/2009/9/main" uri="{2946ED86-A175-432a-8AC1-64E0C546D7DE}">
          <x14:pivotField fillDownLabels="1"/>
        </ext>
      </extLst>
    </pivotField>
    <pivotField compact="0" outline="0" showAll="0" defaultSubtotal="0">
      <items count="2">
        <item h="1" x="0"/>
        <item x="1"/>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1">
    <field x="7"/>
  </rowFields>
  <rowItems count="8">
    <i>
      <x/>
    </i>
    <i>
      <x v="1"/>
    </i>
    <i>
      <x v="2"/>
    </i>
    <i>
      <x v="3"/>
    </i>
    <i>
      <x v="4"/>
    </i>
    <i>
      <x v="5"/>
    </i>
    <i>
      <x v="6"/>
    </i>
    <i>
      <x v="7"/>
    </i>
  </rowItems>
  <colItems count="1">
    <i/>
  </colItems>
  <pageFields count="1">
    <pageField fld="0" hier="-1"/>
  </pageFields>
  <dataFields count="1">
    <dataField name="Sum of Hours" fld="14" baseField="0" baseItem="0"/>
  </dataFields>
  <formats count="5">
    <format dxfId="37">
      <pivotArea outline="0" collapsedLevelsAreSubtotals="1" fieldPosition="0"/>
    </format>
    <format dxfId="36">
      <pivotArea outline="0" collapsedLevelsAreSubtotals="1" fieldPosition="0"/>
    </format>
    <format dxfId="35">
      <pivotArea dataOnly="0" labelOnly="1" outline="0" fieldPosition="0">
        <references count="1">
          <reference field="7" count="8">
            <x v="0"/>
            <x v="1"/>
            <x v="2"/>
            <x v="3"/>
            <x v="4"/>
            <x v="5"/>
            <x v="6"/>
            <x v="7"/>
          </reference>
        </references>
      </pivotArea>
    </format>
    <format dxfId="34">
      <pivotArea field="7" type="button" dataOnly="0" labelOnly="1" outline="0" axis="axisRow" fieldPosition="0"/>
    </format>
    <format dxfId="33">
      <pivotArea dataOnly="0" labelOnly="1" grandCol="1" outline="0" axis="axisCol" fieldPosition="0"/>
    </format>
  </formats>
  <chartFormats count="1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7" count="1" selected="0">
            <x v="0"/>
          </reference>
        </references>
      </pivotArea>
    </chartFormat>
    <chartFormat chart="5" format="14">
      <pivotArea type="data" outline="0" fieldPosition="0">
        <references count="2">
          <reference field="4294967294" count="1" selected="0">
            <x v="0"/>
          </reference>
          <reference field="7" count="1" selected="0">
            <x v="1"/>
          </reference>
        </references>
      </pivotArea>
    </chartFormat>
    <chartFormat chart="5" format="15">
      <pivotArea type="data" outline="0" fieldPosition="0">
        <references count="2">
          <reference field="4294967294" count="1" selected="0">
            <x v="0"/>
          </reference>
          <reference field="7" count="1" selected="0">
            <x v="2"/>
          </reference>
        </references>
      </pivotArea>
    </chartFormat>
    <chartFormat chart="5" format="17">
      <pivotArea type="data" outline="0" fieldPosition="0">
        <references count="2">
          <reference field="4294967294" count="1" selected="0">
            <x v="0"/>
          </reference>
          <reference field="7" count="1" selected="0">
            <x v="3"/>
          </reference>
        </references>
      </pivotArea>
    </chartFormat>
    <chartFormat chart="5" format="18">
      <pivotArea type="data" outline="0" fieldPosition="0">
        <references count="2">
          <reference field="4294967294" count="1" selected="0">
            <x v="0"/>
          </reference>
          <reference field="7" count="1" selected="0">
            <x v="4"/>
          </reference>
        </references>
      </pivotArea>
    </chartFormat>
    <chartFormat chart="5" format="19">
      <pivotArea type="data" outline="0" fieldPosition="0">
        <references count="2">
          <reference field="4294967294" count="1" selected="0">
            <x v="0"/>
          </reference>
          <reference field="7" count="1" selected="0">
            <x v="5"/>
          </reference>
        </references>
      </pivotArea>
    </chartFormat>
    <chartFormat chart="5" format="20">
      <pivotArea type="data" outline="0" fieldPosition="0">
        <references count="2">
          <reference field="4294967294" count="1" selected="0">
            <x v="0"/>
          </reference>
          <reference field="7" count="1" selected="0">
            <x v="6"/>
          </reference>
        </references>
      </pivotArea>
    </chartFormat>
    <chartFormat chart="5" format="21">
      <pivotArea type="data" outline="0" fieldPosition="0">
        <references count="2">
          <reference field="4294967294" count="1" selected="0">
            <x v="0"/>
          </reference>
          <reference field="7" count="1" selected="0">
            <x v="7"/>
          </reference>
        </references>
      </pivotArea>
    </chartFormat>
  </chart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A64BC75-1C26-4DE3-A312-AFBEF31243AF}" name="PivotTable2" cacheId="0" autoFormatId="4117" applyNumberFormats="1" applyBorderFormats="1" applyFontFormats="1" applyPatternFormats="1" applyAlignmentFormats="1" applyWidthHeightFormats="1" dataCaption="Data" updatedVersion="6" minRefreshableVersion="3" showMemberPropertyTips="0" useAutoFormatting="1" rowGrandTotals="0" itemPrintTitles="1" createdVersion="4" indent="0" compact="0" compactData="0" gridDropZones="1" chartFormat="26">
  <location ref="A6:E13" firstHeaderRow="1" firstDataRow="2" firstDataCol="2" rowPageCount="1" colPageCount="1"/>
  <pivotFields count="18">
    <pivotField axis="axisPage" compact="0" outline="0" subtotalTop="0" multipleItemSelectionAllowed="1" showAll="0">
      <items count="7">
        <item x="1"/>
        <item x="2"/>
        <item x="3"/>
        <item x="4"/>
        <item x="5"/>
        <item x="0"/>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items count="8">
        <item x="6"/>
        <item x="1"/>
        <item x="2"/>
        <item x="3"/>
        <item x="4"/>
        <item x="5"/>
        <item x="0"/>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Col" compact="0" outline="0" subtotalTop="0" showAll="0">
      <items count="4">
        <item h="1" x="0"/>
        <item x="1"/>
        <item x="2"/>
        <item t="default"/>
      </items>
      <extLst>
        <ext xmlns:x14="http://schemas.microsoft.com/office/spreadsheetml/2009/9/main" uri="{2946ED86-A175-432a-8AC1-64E0C546D7DE}">
          <x14:pivotField fillDownLabels="1"/>
        </ext>
      </extLst>
    </pivotField>
    <pivotField axis="axisRow" compact="0" outline="0" subtotalTop="0" showAll="0" includeNewItemsInFilter="1">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sd="0" x="75"/>
        <item sd="0" x="76"/>
        <item sd="0" x="77"/>
        <item sd="0" x="78"/>
        <item sd="0" x="79"/>
        <item sd="0"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numFmtId="4"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items count="15">
        <item sd="0" x="0"/>
        <item sd="0" x="1"/>
        <item sd="0" x="2"/>
        <item x="3"/>
        <item sd="0" x="4"/>
        <item sd="0" x="5"/>
        <item sd="0" x="6"/>
        <item sd="0" x="7"/>
        <item sd="0" x="8"/>
        <item sd="0" x="9"/>
        <item sd="0" x="10"/>
        <item sd="0" x="11"/>
        <item sd="0" x="12"/>
        <item sd="0" x="13"/>
        <item t="default"/>
      </items>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2">
    <field x="5"/>
    <field x="2"/>
  </rowFields>
  <rowItems count="6">
    <i>
      <x v="75"/>
    </i>
    <i>
      <x v="76"/>
    </i>
    <i>
      <x v="77"/>
    </i>
    <i>
      <x v="78"/>
    </i>
    <i>
      <x v="79"/>
    </i>
    <i>
      <x v="80"/>
    </i>
  </rowItems>
  <colFields count="1">
    <field x="4"/>
  </colFields>
  <colItems count="3">
    <i>
      <x v="1"/>
    </i>
    <i>
      <x v="2"/>
    </i>
    <i t="grand">
      <x/>
    </i>
  </colItems>
  <pageFields count="1">
    <pageField fld="0" hier="-1"/>
  </pageFields>
  <dataFields count="1">
    <dataField name="Sum of Hours" fld="14" showDataAs="percentOfRow" baseField="5" baseItem="75" numFmtId="10"/>
  </dataFields>
  <formats count="10">
    <format dxfId="32">
      <pivotArea outline="0" collapsedLevelsAreSubtotals="1" fieldPosition="0"/>
    </format>
    <format dxfId="31">
      <pivotArea outline="0" collapsedLevelsAreSubtotals="1" fieldPosition="0"/>
    </format>
    <format dxfId="30">
      <pivotArea dataOnly="0" labelOnly="1" outline="0" fieldPosition="0">
        <references count="1">
          <reference field="5" count="6">
            <x v="75"/>
            <x v="76"/>
            <x v="77"/>
            <x v="78"/>
            <x v="79"/>
            <x v="80"/>
          </reference>
        </references>
      </pivotArea>
    </format>
    <format dxfId="29">
      <pivotArea type="origin" dataOnly="0" labelOnly="1" outline="0" fieldPosition="0"/>
    </format>
    <format dxfId="28">
      <pivotArea field="4" type="button" dataOnly="0" labelOnly="1" outline="0" axis="axisCol" fieldPosition="0"/>
    </format>
    <format dxfId="27">
      <pivotArea type="topRight" dataOnly="0" labelOnly="1" outline="0" fieldPosition="0"/>
    </format>
    <format dxfId="26">
      <pivotArea field="5" type="button" dataOnly="0" labelOnly="1" outline="0" axis="axisRow" fieldPosition="0"/>
    </format>
    <format dxfId="25">
      <pivotArea field="2" type="button" dataOnly="0" labelOnly="1" outline="0" axis="axisRow" fieldPosition="1"/>
    </format>
    <format dxfId="24">
      <pivotArea dataOnly="0" labelOnly="1" grandCol="1" outline="0" fieldPosition="0"/>
    </format>
    <format dxfId="4">
      <pivotArea outline="0" fieldPosition="0">
        <references count="1">
          <reference field="4294967294" count="1">
            <x v="0"/>
          </reference>
        </references>
      </pivotArea>
    </format>
  </formats>
  <chartFormats count="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0"/>
          </reference>
        </references>
      </pivotArea>
    </chartFormat>
    <chartFormat chart="21" format="18" series="1">
      <pivotArea type="data" outline="0" fieldPosition="0">
        <references count="2">
          <reference field="4294967294" count="1" selected="0">
            <x v="0"/>
          </reference>
          <reference field="4" count="1" selected="0">
            <x v="0"/>
          </reference>
        </references>
      </pivotArea>
    </chartFormat>
    <chartFormat chart="21" format="23" series="1">
      <pivotArea type="data" outline="0" fieldPosition="0">
        <references count="2">
          <reference field="4294967294" count="1" selected="0">
            <x v="0"/>
          </reference>
          <reference field="4" count="1" selected="0">
            <x v="1"/>
          </reference>
        </references>
      </pivotArea>
    </chartFormat>
    <chartFormat chart="21" format="24" series="1">
      <pivotArea type="data" outline="0" fieldPosition="0">
        <references count="2">
          <reference field="4294967294" count="1" selected="0">
            <x v="0"/>
          </reference>
          <reference field="4" count="1" selected="0">
            <x v="2"/>
          </reference>
        </references>
      </pivotArea>
    </chartFormat>
  </chartFormats>
  <pivotTableStyleInfo name="PivotStyleMedium9" showRowHeaders="0" showColHeaders="1" showRowStripes="0" showColStripes="0" showLastColumn="1"/>
  <filters count="1">
    <filter fld="5" type="lastWeek" evalOrder="-1" id="4">
      <autoFilter ref="A1">
        <filterColumn colId="0">
          <dynamicFilter type="lastWeek" val="44269" maxVal="44276"/>
        </filterColumn>
      </autoFilter>
    </filter>
  </filters>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rojectIDList" cacheId="1" dataOnRows="1" applyNumberFormats="0" applyBorderFormats="0" applyFontFormats="0" applyPatternFormats="0" applyAlignmentFormats="0" applyWidthHeightFormats="1" dataCaption="Data" updatedVersion="6" minRefreshableVersion="3" asteriskTotals="1" showDrill="0" showMemberPropertyTips="0" rowGrandTotals="0" colGrandTotals="0" itemPrintTitles="1" createdVersion="4" indent="0" compact="0" compactData="0">
  <location ref="F20:F32" firstHeaderRow="1" firstDataRow="1" firstDataCol="1" rowPageCount="1" colPageCount="1"/>
  <pivotFields count="3">
    <pivotField axis="axisPage" compact="0" outline="0" subtotalTop="0" multipleItemSelectionAllowed="1" showAll="0" includeNewItemsInFilter="1">
      <items count="3">
        <item x="1"/>
        <item x="0"/>
        <item t="default"/>
      </items>
    </pivotField>
    <pivotField name="Category ID" axis="axisRow" compact="0" outline="0" subtotalTop="0" showAll="0" includeNewItemsInFilter="1" sortType="ascending" defaultSubtotal="0">
      <items count="12">
        <item x="0"/>
        <item x="1"/>
        <item x="2"/>
        <item x="3"/>
        <item x="4"/>
        <item x="5"/>
        <item x="6"/>
        <item x="7"/>
        <item x="9"/>
        <item x="8"/>
        <item x="10"/>
        <item x="11"/>
      </items>
    </pivotField>
    <pivotField compact="0" outline="0" subtotalTop="0" showAll="0" includeNewItemsInFilter="1"/>
  </pivotFields>
  <rowFields count="1">
    <field x="1"/>
  </rowFields>
  <rowItems count="12">
    <i>
      <x/>
    </i>
    <i>
      <x v="1"/>
    </i>
    <i>
      <x v="2"/>
    </i>
    <i>
      <x v="3"/>
    </i>
    <i>
      <x v="4"/>
    </i>
    <i>
      <x v="5"/>
    </i>
    <i>
      <x v="6"/>
    </i>
    <i>
      <x v="7"/>
    </i>
    <i>
      <x v="8"/>
    </i>
    <i>
      <x v="9"/>
    </i>
    <i>
      <x v="10"/>
    </i>
    <i>
      <x v="11"/>
    </i>
  </rowItems>
  <colItems count="1">
    <i/>
  </colItems>
  <pageFields count="1">
    <pageField fld="0" hier="0"/>
  </pageFields>
  <pivotTableStyleInfo name="V42_List1" showRowHeaders="1" showColHeaders="1" showRowStripes="0" showColStripes="0" showLastColumn="1"/>
  <extLst>
    <ext xmlns:x14="http://schemas.microsoft.com/office/spreadsheetml/2009/9/main" uri="{962EF5D1-5CA2-4c93-8EF4-DBF5C05439D2}">
      <x14:pivotTableDefinition xmlns:xm="http://schemas.microsoft.com/office/excel/2006/main" altText="Project ID List for Drop-Down Box"/>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TaskIDList" cacheId="1" dataOnRows="1" applyNumberFormats="0" applyBorderFormats="0" applyFontFormats="0" applyPatternFormats="0" applyAlignmentFormats="0" applyWidthHeightFormats="1" dataCaption="Data" updatedVersion="6" minRefreshableVersion="3" asteriskTotals="1" showDrill="0" showMemberPropertyTips="0" rowGrandTotals="0" colGrandTotals="0" itemPrintTitles="1" createdVersion="4" indent="0" compact="0" compactData="0">
  <location ref="I20:J52" firstHeaderRow="1" firstDataRow="1" firstDataCol="2" rowPageCount="1" colPageCount="1"/>
  <pivotFields count="3">
    <pivotField axis="axisPage" compact="0" outline="0" subtotalTop="0" multipleItemSelectionAllowed="1" showAll="0" includeNewItemsInFilter="1" defaultSubtotal="0">
      <items count="2">
        <item x="1"/>
        <item x="0"/>
      </items>
    </pivotField>
    <pivotField name="Category ID" axis="axisRow" compact="0" outline="0" subtotalTop="0" showAll="0" includeNewItemsInFilter="1" sortType="ascending" defaultSubtotal="0">
      <items count="12">
        <item x="0"/>
        <item x="1"/>
        <item x="2"/>
        <item x="3"/>
        <item x="4"/>
        <item x="5"/>
        <item x="6"/>
        <item x="7"/>
        <item x="9"/>
        <item x="8"/>
        <item x="10"/>
        <item x="11"/>
      </items>
      <extLst>
        <ext xmlns:x14="http://schemas.microsoft.com/office/spreadsheetml/2009/9/main" uri="{2946ED86-A175-432a-8AC1-64E0C546D7DE}">
          <x14:pivotField fillDownLabels="1"/>
        </ext>
      </extLst>
    </pivotField>
    <pivotField axis="axisRow" compact="0" outline="0" subtotalTop="0" showAll="0" includeNewItemsInFilter="1" defaultSubtotal="0">
      <items count="32">
        <item x="1"/>
        <item x="2"/>
        <item x="3"/>
        <item x="25"/>
        <item x="21"/>
        <item x="13"/>
        <item x="22"/>
        <item x="4"/>
        <item x="23"/>
        <item x="24"/>
        <item x="14"/>
        <item x="15"/>
        <item x="12"/>
        <item x="26"/>
        <item x="27"/>
        <item x="9"/>
        <item x="10"/>
        <item x="11"/>
        <item x="5"/>
        <item x="6"/>
        <item x="7"/>
        <item x="8"/>
        <item x="16"/>
        <item x="17"/>
        <item x="18"/>
        <item x="19"/>
        <item x="28"/>
        <item x="29"/>
        <item x="30"/>
        <item x="31"/>
        <item x="20"/>
        <item x="0"/>
      </items>
    </pivotField>
  </pivotFields>
  <rowFields count="2">
    <field x="1"/>
    <field x="2"/>
  </rowFields>
  <rowItems count="32">
    <i>
      <x/>
      <x v="31"/>
    </i>
    <i>
      <x v="1"/>
      <x/>
    </i>
    <i r="1">
      <x v="1"/>
    </i>
    <i>
      <x v="2"/>
      <x v="2"/>
    </i>
    <i r="1">
      <x v="7"/>
    </i>
    <i r="1">
      <x v="18"/>
    </i>
    <i r="1">
      <x v="19"/>
    </i>
    <i>
      <x v="3"/>
      <x v="20"/>
    </i>
    <i r="1">
      <x v="21"/>
    </i>
    <i>
      <x v="4"/>
      <x v="15"/>
    </i>
    <i r="1">
      <x v="16"/>
    </i>
    <i r="1">
      <x v="17"/>
    </i>
    <i>
      <x v="5"/>
      <x v="5"/>
    </i>
    <i r="1">
      <x v="10"/>
    </i>
    <i r="1">
      <x v="11"/>
    </i>
    <i r="1">
      <x v="12"/>
    </i>
    <i>
      <x v="6"/>
      <x v="22"/>
    </i>
    <i r="1">
      <x v="23"/>
    </i>
    <i r="1">
      <x v="24"/>
    </i>
    <i r="1">
      <x v="25"/>
    </i>
    <i r="1">
      <x v="30"/>
    </i>
    <i>
      <x v="7"/>
      <x v="3"/>
    </i>
    <i r="1">
      <x v="4"/>
    </i>
    <i r="1">
      <x v="6"/>
    </i>
    <i>
      <x v="8"/>
      <x v="13"/>
    </i>
    <i r="1">
      <x v="14"/>
    </i>
    <i>
      <x v="9"/>
      <x v="8"/>
    </i>
    <i r="1">
      <x v="9"/>
    </i>
    <i>
      <x v="10"/>
      <x v="26"/>
    </i>
    <i r="1">
      <x v="27"/>
    </i>
    <i r="1">
      <x v="28"/>
    </i>
    <i>
      <x v="11"/>
      <x v="29"/>
    </i>
  </rowItems>
  <colItems count="1">
    <i/>
  </colItems>
  <pageFields count="1">
    <pageField fld="0" hier="0"/>
  </pageFields>
  <pivotTableStyleInfo name="V42_List1" showRowHeaders="0" showColHeaders="1" showRowStripes="0" showColStripes="0" showLastColumn="1"/>
  <extLst>
    <ext xmlns:x14="http://schemas.microsoft.com/office/spreadsheetml/2009/9/main" uri="{962EF5D1-5CA2-4c93-8EF4-DBF5C05439D2}">
      <x14:pivotTableDefinition xmlns:xm="http://schemas.microsoft.com/office/excel/2006/main" altText="Task ID List for Drop-Down Box"/>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Period" xr10:uid="{00000000-0013-0000-FFFF-FFFF02000000}" sourceName="Current Period">
  <pivotTables>
    <pivotTable tabId="17" name="PivotTable2"/>
  </pivotTables>
  <data>
    <tabular pivotCacheId="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Period1" xr10:uid="{9C896390-EE2D-4273-A929-35CF7BC392D4}" sourceName="Current Period">
  <pivotTables>
    <pivotTable tabId="26" name="PivotTable2"/>
  </pivotTables>
  <data>
    <tabular pivotCacheId="2">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Period" xr10:uid="{00000000-0014-0000-FFFF-FFFF02000000}" cache="Slicer_Current_Period" caption="Current Period"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Period 1" xr10:uid="{C932F512-8B11-420D-B4E2-193964B6271C}" cache="Slicer_Current_Period1" caption="Current Perio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54957E3-6BF2-4E04-B69C-DCA345D34ACB}" name="Table7" displayName="Table7" ref="B67:C78" totalsRowShown="0" headerRowDxfId="69" dataDxfId="67" headerRowBorderDxfId="68">
  <autoFilter ref="B67:C78" xr:uid="{C7F8ECA4-BACE-4741-8717-63ECABEC4C56}"/>
  <tableColumns count="2">
    <tableColumn id="1" xr3:uid="{20C0AA54-1F21-4983-8F94-BD9E470D3D57}" name="Categories" dataDxfId="66">
      <calculatedColumnFormula>Projects!F21</calculatedColumnFormula>
    </tableColumn>
    <tableColumn id="2" xr3:uid="{4C6DD173-18C4-4F07-B523-E5AE5DFD387F}" name="Hours" dataDxfId="65">
      <calculatedColumnFormula>IFERROR(GETPIVOTDATA("Hours",'Hours Spent by Category'!$A$6,"Project ID",B68),"")</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C25B0-04A5-4F92-916F-566CD8797C85}" name="Table710" displayName="Table710" ref="M67:N97" totalsRowShown="0" headerRowDxfId="64" dataDxfId="62" headerRowBorderDxfId="63">
  <autoFilter ref="M67:N97" xr:uid="{06F63F34-A76D-464F-B4A1-51793C46A16B}"/>
  <tableColumns count="2">
    <tableColumn id="1" xr3:uid="{AD9251E6-C753-40CC-98B5-586EAC6D176C}" name="Task ID" dataDxfId="61">
      <calculatedColumnFormula>Projects!J21</calculatedColumnFormula>
    </tableColumn>
    <tableColumn id="2" xr3:uid="{AB610807-5849-4912-9AE7-8E86156855AF}" name="Hours" dataDxfId="60">
      <calculatedColumnFormula>IFERROR(GETPIVOTDATA("Hours",'Hours Spent by Tasks'!$A$6,"Task ID",Table710[[#This Row],[Task ID]]),"")</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imeLogTable" displayName="TimeLogTable" ref="A13:Q173" totalsRowShown="0" headerRowDxfId="59" dataDxfId="57" headerRowBorderDxfId="58">
  <autoFilter ref="A13:Q173" xr:uid="{55647F30-D250-4880-A343-FD996BD4B2C7}"/>
  <tableColumns count="17">
    <tableColumn id="64" xr3:uid="{E1B0A39A-36D6-4A14-9478-1BECCCBE956C}" name="Year" dataDxfId="56">
      <calculatedColumnFormula>TEXT(TimeLogTable[[#This Row],[Date]], "yyyy")</calculatedColumnFormula>
    </tableColumn>
    <tableColumn id="65" xr3:uid="{ED3A7B30-C5C4-469C-BAE7-1D02FFF2C459}" name="Month" dataDxfId="55">
      <calculatedColumnFormula>TEXT(TimeLogTable[[#This Row],[Date]], "mmm")</calculatedColumnFormula>
    </tableColumn>
    <tableColumn id="9" xr3:uid="{F67DD74A-6EFB-48EC-8C45-E90025B379AA}" name="Week" dataDxfId="54">
      <calculatedColumnFormula>IFERROR(LOOKUP(TimeLogTable[[#This Row],[Date]],Table44[Start Date],Table44[Week Of]),"")</calculatedColumnFormula>
    </tableColumn>
    <tableColumn id="10" xr3:uid="{6F14294E-999A-450F-981F-8DE0BAFA7333}" name="Day" dataDxfId="53">
      <calculatedColumnFormula>TEXT(TimeLogTable[[#This Row],[Date]],"dddd")</calculatedColumnFormula>
    </tableColumn>
    <tableColumn id="73" xr3:uid="{704E08E9-B1A5-4718-A5AD-EB5EFDCB6E8B}" name="Time of Day" dataDxfId="52">
      <calculatedColumnFormula>IFERROR(LOOKUP(TimeLogTable[[#This Row],[Start
Time]],Table4[Start Time],Table4[Time of Day]),"")</calculatedColumnFormula>
    </tableColumn>
    <tableColumn id="72" xr3:uid="{719D0874-0837-4AA5-9481-905AA5625C83}" name="Productivity" dataDxfId="51">
      <calculatedColumnFormula>IFERROR(INDEX(Projects[Productive],MATCH(TimeLogTable[[#This Row],[Task ID]],Projects[Task ID],0)),"")</calculatedColumnFormula>
    </tableColumn>
    <tableColumn id="1" xr3:uid="{00000000-0010-0000-0000-000001000000}" name="Date" dataDxfId="50"/>
    <tableColumn id="2" xr3:uid="{00000000-0010-0000-0000-000002000000}" name="Project ID" dataDxfId="49"/>
    <tableColumn id="3" xr3:uid="{00000000-0010-0000-0000-000003000000}" name="Task ID" dataDxfId="3"/>
    <tableColumn id="71" xr3:uid="{9682461B-28E5-43E6-B136-5BC16FCB6E92}" name="As Planned" dataDxfId="1"/>
    <tableColumn id="12" xr3:uid="{00000000-0010-0000-0000-00000C000000}" name="Notes" dataDxfId="2"/>
    <tableColumn id="4" xr3:uid="{00000000-0010-0000-0000-000004000000}" name="Start_x000a_Time" dataDxfId="48"/>
    <tableColumn id="5" xr3:uid="{00000000-0010-0000-0000-000005000000}" name="Breaks_x000a_(minutes)" dataDxfId="47"/>
    <tableColumn id="6" xr3:uid="{00000000-0010-0000-0000-000006000000}" name="End_x000a_Time" dataDxfId="46"/>
    <tableColumn id="13" xr3:uid="{00000000-0010-0000-0000-00000D000000}" name="Minutes Worked" dataDxfId="45"/>
    <tableColumn id="7" xr3:uid="{00000000-0010-0000-0000-000007000000}" name="Hours" dataDxfId="44">
      <calculatedColumnFormula>O14/60+ROUND(IF((OR(L14="",N14="")),0,IF((N14&lt;L14),((N14-L14)*24)+24,(N14-L14)*24)-M14/60),2)</calculatedColumnFormula>
    </tableColumn>
    <tableColumn id="8" xr3:uid="{00000000-0010-0000-0000-000008000000}" name="Current Period" dataDxfId="43">
      <calculatedColumnFormula>IF(AND(TimeLogTable[[#This Row],[Date]]&gt;=$M$8,TimeLogTable[[#This Row],[Date]]&lt;=$M$9),"yes","no")</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Projects" displayName="Projects" ref="A4:D36" totalsRowShown="0" headerRowDxfId="23" dataDxfId="21" headerRowBorderDxfId="22">
  <autoFilter ref="A4:D36" xr:uid="{00000000-0009-0000-0100-000001000000}"/>
  <sortState xmlns:xlrd2="http://schemas.microsoft.com/office/spreadsheetml/2017/richdata2" ref="A5:C36">
    <sortCondition ref="B4:B36"/>
  </sortState>
  <tableColumns count="4">
    <tableColumn id="1" xr3:uid="{00000000-0010-0000-0100-000001000000}" name="Active" dataDxfId="20"/>
    <tableColumn id="2" xr3:uid="{00000000-0010-0000-0100-000002000000}" name="Project ID" dataDxfId="19"/>
    <tableColumn id="3" xr3:uid="{00000000-0010-0000-0100-000003000000}" name="Task ID" dataDxfId="18"/>
    <tableColumn id="4" xr3:uid="{3357765B-C112-4DB0-9777-9C816D01CF9F}" name="Productive" dataDxfId="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C0F7AAD-A2DC-4F54-9FBB-92CE6CDD6CAA}" name="Table4" displayName="Table4" ref="L19:N24" totalsRowShown="0" headerRowDxfId="16" headerRowBorderDxfId="15" tableBorderDxfId="14">
  <autoFilter ref="L19:N24" xr:uid="{1C04AE4D-FB90-4F9B-9489-6D8E82D29FD5}"/>
  <tableColumns count="3">
    <tableColumn id="1" xr3:uid="{162B9D37-5585-49BA-B5D8-B7A7F021BA6D}" name="Start Time" dataDxfId="13"/>
    <tableColumn id="2" xr3:uid="{75EA87D9-9C6E-4ADD-90CA-9529F602A8D1}" name="End Time" dataDxfId="12"/>
    <tableColumn id="3" xr3:uid="{5CC76D98-C9EE-46D1-8AE9-B04F80BDFAE4}" name="Time of Day" dataDxfId="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B7CC56-403B-44A5-B74A-6EC85DFF8B6D}" name="Table44" displayName="Table44" ref="P19:R117" totalsRowShown="0" headerRowDxfId="10" headerRowBorderDxfId="9" tableBorderDxfId="8">
  <autoFilter ref="P19:R117" xr:uid="{3CF5E78A-DCB7-4926-B4B9-797B536D5A70}"/>
  <tableColumns count="3">
    <tableColumn id="1" xr3:uid="{6DE1F972-2647-462B-9BF2-1E3C2B1662D3}" name="Start Date" dataDxfId="7"/>
    <tableColumn id="2" xr3:uid="{DDE371E8-02E2-4F28-993D-0F7C48C49449}" name="End Date" dataDxfId="6">
      <calculatedColumnFormula>Table44[[#This Row],[Start Date]]+6</calculatedColumnFormula>
    </tableColumn>
    <tableColumn id="3" xr3:uid="{EF0A7E1E-50C7-448B-9633-093900F52073}" name="Week Of" dataDxfId="5">
      <calculatedColumnFormula>"Week of "&amp;TEXT(Table44[[#This Row],[Start Date]],"mm/dd/yyyy")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Vertex42">
  <a:themeElements>
    <a:clrScheme name="Vertex42">
      <a:dk1>
        <a:sysClr val="windowText" lastClr="000000"/>
      </a:dk1>
      <a:lt1>
        <a:sysClr val="window" lastClr="FFFFFF"/>
      </a:lt1>
      <a:dk2>
        <a:srgbClr val="5E8BCE"/>
      </a:dk2>
      <a:lt2>
        <a:srgbClr val="EEECE2"/>
      </a:lt2>
      <a:accent1>
        <a:srgbClr val="3A5D9C"/>
      </a:accent1>
      <a:accent2>
        <a:srgbClr val="C04E4E"/>
      </a:accent2>
      <a:accent3>
        <a:srgbClr val="E68422"/>
      </a:accent3>
      <a:accent4>
        <a:srgbClr val="846648"/>
      </a:accent4>
      <a:accent5>
        <a:srgbClr val="26AA26"/>
      </a:accent5>
      <a:accent6>
        <a:srgbClr val="7860B4"/>
      </a:accent6>
      <a:hlink>
        <a:srgbClr val="4C92AE"/>
      </a:hlink>
      <a:folHlink>
        <a:srgbClr val="969696"/>
      </a:folHlink>
    </a:clrScheme>
    <a:fontScheme name="Vertex42">
      <a:majorFont>
        <a:latin typeface="Arial"/>
        <a:ea typeface=""/>
        <a:cs typeface=""/>
      </a:majorFont>
      <a:minorFont>
        <a:latin typeface="Trebuchet M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printerSettings" Target="../printerSettings/printerSettings6.bin"/><Relationship Id="rId7" Type="http://schemas.openxmlformats.org/officeDocument/2006/relationships/table" Target="../tables/table5.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table" Target="../tables/table4.xml"/><Relationship Id="rId5" Type="http://schemas.openxmlformats.org/officeDocument/2006/relationships/vmlDrawing" Target="../drawings/vmlDrawing3.vml"/><Relationship Id="rId4" Type="http://schemas.openxmlformats.org/officeDocument/2006/relationships/drawing" Target="../drawings/drawing7.xml"/><Relationship Id="rId9"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27082-ED84-4F99-B4B5-6F1BFEB8BB44}">
  <sheetPr codeName="Sheet7"/>
  <dimension ref="A1"/>
  <sheetViews>
    <sheetView showGridLines="0" workbookViewId="0">
      <selection activeCell="N15" sqref="N15"/>
    </sheetView>
  </sheetViews>
  <sheetFormatPr defaultRowHeight="14.4"/>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UserForm">
                <anchor moveWithCells="1" sizeWithCells="1">
                  <from>
                    <xdr:col>0</xdr:col>
                    <xdr:colOff>586740</xdr:colOff>
                    <xdr:row>1</xdr:row>
                    <xdr:rowOff>76200</xdr:rowOff>
                  </from>
                  <to>
                    <xdr:col>5</xdr:col>
                    <xdr:colOff>594360</xdr:colOff>
                    <xdr:row>12</xdr:row>
                    <xdr:rowOff>22860</xdr:rowOff>
                  </to>
                </anchor>
              </controlPr>
            </control>
          </mc:Choice>
        </mc:AlternateContent>
        <mc:AlternateContent xmlns:mc="http://schemas.openxmlformats.org/markup-compatibility/2006">
          <mc:Choice Requires="x14">
            <control shapeId="17410" r:id="rId5" name="Button 2">
              <controlPr defaultSize="0" print="0" autoFill="0" autoPict="0" macro="[0]!ShowUserForm">
                <anchor moveWithCells="1" sizeWithCells="1">
                  <from>
                    <xdr:col>8</xdr:col>
                    <xdr:colOff>30480</xdr:colOff>
                    <xdr:row>1</xdr:row>
                    <xdr:rowOff>106680</xdr:rowOff>
                  </from>
                  <to>
                    <xdr:col>13</xdr:col>
                    <xdr:colOff>38100</xdr:colOff>
                    <xdr:row>12</xdr:row>
                    <xdr:rowOff>83820</xdr:rowOff>
                  </to>
                </anchor>
              </controlPr>
            </control>
          </mc:Choice>
        </mc:AlternateContent>
        <mc:AlternateContent xmlns:mc="http://schemas.openxmlformats.org/markup-compatibility/2006">
          <mc:Choice Requires="x14">
            <control shapeId="17411" r:id="rId6" name="Button 3">
              <controlPr defaultSize="0" print="0" autoFill="0" autoPict="0" macro="[0]!ShowUserForm">
                <anchor moveWithCells="1" sizeWithCells="1">
                  <from>
                    <xdr:col>15</xdr:col>
                    <xdr:colOff>30480</xdr:colOff>
                    <xdr:row>1</xdr:row>
                    <xdr:rowOff>129540</xdr:rowOff>
                  </from>
                  <to>
                    <xdr:col>20</xdr:col>
                    <xdr:colOff>38100</xdr:colOff>
                    <xdr:row>12</xdr:row>
                    <xdr:rowOff>106680</xdr:rowOff>
                  </to>
                </anchor>
              </controlPr>
            </control>
          </mc:Choice>
        </mc:AlternateContent>
        <mc:AlternateContent xmlns:mc="http://schemas.openxmlformats.org/markup-compatibility/2006">
          <mc:Choice Requires="x14">
            <control shapeId="17414" r:id="rId7" name="Button 6">
              <controlPr defaultSize="0" print="0" autoFill="0" autoPict="0" macro="[0]!ShowUserForm">
                <anchor moveWithCells="1" sizeWithCells="1">
                  <from>
                    <xdr:col>0</xdr:col>
                    <xdr:colOff>548640</xdr:colOff>
                    <xdr:row>15</xdr:row>
                    <xdr:rowOff>129540</xdr:rowOff>
                  </from>
                  <to>
                    <xdr:col>5</xdr:col>
                    <xdr:colOff>556260</xdr:colOff>
                    <xdr:row>26</xdr:row>
                    <xdr:rowOff>76200</xdr:rowOff>
                  </to>
                </anchor>
              </controlPr>
            </control>
          </mc:Choice>
        </mc:AlternateContent>
        <mc:AlternateContent xmlns:mc="http://schemas.openxmlformats.org/markup-compatibility/2006">
          <mc:Choice Requires="x14">
            <control shapeId="17415" r:id="rId8" name="Button 7">
              <controlPr defaultSize="0" print="0" autoFill="0" autoPict="0" macro="[0]!ShowUserForm">
                <anchor moveWithCells="1" sizeWithCells="1">
                  <from>
                    <xdr:col>7</xdr:col>
                    <xdr:colOff>502920</xdr:colOff>
                    <xdr:row>15</xdr:row>
                    <xdr:rowOff>83820</xdr:rowOff>
                  </from>
                  <to>
                    <xdr:col>12</xdr:col>
                    <xdr:colOff>510540</xdr:colOff>
                    <xdr:row>26</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8A1AB-10A1-4171-B37B-344DA23C2220}">
  <sheetPr codeName="Sheet5"/>
  <dimension ref="B1:N97"/>
  <sheetViews>
    <sheetView showGridLines="0" topLeftCell="A10" zoomScale="70" zoomScaleNormal="70" workbookViewId="0">
      <selection activeCell="AB53" sqref="AB53"/>
    </sheetView>
  </sheetViews>
  <sheetFormatPr defaultRowHeight="14.4"/>
  <cols>
    <col min="2" max="2" width="40.88671875" bestFit="1" customWidth="1"/>
    <col min="3" max="3" width="19.109375" bestFit="1" customWidth="1"/>
    <col min="12" max="12" width="21.21875" customWidth="1"/>
    <col min="13" max="13" width="46.109375" bestFit="1" customWidth="1"/>
    <col min="14" max="14" width="19.109375" bestFit="1" customWidth="1"/>
  </cols>
  <sheetData>
    <row r="1" s="1" customFormat="1"/>
    <row r="2" s="1" customFormat="1"/>
    <row r="3" s="1" customFormat="1"/>
    <row r="4" s="1" customFormat="1"/>
    <row r="5" s="1" customFormat="1"/>
    <row r="6" s="1" customFormat="1"/>
    <row r="7" s="1" customFormat="1"/>
    <row r="8" s="1" customFormat="1"/>
    <row r="9" s="1" customFormat="1"/>
    <row r="10" s="1" customFormat="1"/>
    <row r="11" s="1" customFormat="1"/>
    <row r="12" s="1" customFormat="1"/>
    <row r="13" s="1" customFormat="1"/>
    <row r="14" s="1" customFormat="1"/>
    <row r="15" s="1" customFormat="1"/>
    <row r="16" s="1" customFormat="1"/>
    <row r="17" s="1" customFormat="1"/>
    <row r="18" s="1" customFormat="1"/>
    <row r="19" s="1" customFormat="1"/>
    <row r="20" s="1" customFormat="1"/>
    <row r="21" s="1" customFormat="1"/>
    <row r="22" s="1" customFormat="1"/>
    <row r="23" s="1" customFormat="1"/>
    <row r="24" s="1" customFormat="1"/>
    <row r="25" s="1" customFormat="1"/>
    <row r="26" s="1" customFormat="1"/>
    <row r="27" s="1" customFormat="1"/>
    <row r="28" s="1" customFormat="1"/>
    <row r="29" s="1" customFormat="1"/>
    <row r="30" s="1" customFormat="1"/>
    <row r="31" s="1" customFormat="1"/>
    <row r="32" s="1" customFormat="1"/>
    <row r="66" spans="2:14" ht="15" thickBot="1"/>
    <row r="67" spans="2:14" ht="24" thickBot="1">
      <c r="B67" s="89" t="s">
        <v>108</v>
      </c>
      <c r="C67" s="90" t="s">
        <v>4</v>
      </c>
      <c r="M67" s="89" t="s">
        <v>0</v>
      </c>
      <c r="N67" s="90" t="s">
        <v>4</v>
      </c>
    </row>
    <row r="68" spans="2:14" ht="23.4">
      <c r="B68" s="91">
        <f>Projects!F21</f>
        <v>0</v>
      </c>
      <c r="C68" s="88" t="str">
        <f>IFERROR(GETPIVOTDATA("Hours",'Hours Spent by Category'!$A$6,"Project ID",B68),"")</f>
        <v/>
      </c>
      <c r="M68" s="91">
        <f>Projects!J21</f>
        <v>0</v>
      </c>
      <c r="N68" s="88" t="str">
        <f>IFERROR(GETPIVOTDATA("Hours",'Hours Spent by Tasks'!$A$6,"Task ID",Table710[[#This Row],[Task ID]]),"")</f>
        <v/>
      </c>
    </row>
    <row r="69" spans="2:14" ht="23.4">
      <c r="B69" s="92" t="str">
        <f>Projects!F22</f>
        <v>Chores</v>
      </c>
      <c r="C69" s="87" t="str">
        <f>IFERROR(GETPIVOTDATA("Hours",'Hours Spent by Category'!$A$6,"Project ID",B69),"")</f>
        <v/>
      </c>
      <c r="M69" s="92" t="str">
        <f>Projects!J22</f>
        <v>House</v>
      </c>
      <c r="N69" s="87" t="str">
        <f>IFERROR(GETPIVOTDATA("Hours",'Hours Spent by Tasks'!$A$6,"Task ID",Table710[[#This Row],[Task ID]]),"")</f>
        <v/>
      </c>
    </row>
    <row r="70" spans="2:14" ht="23.4">
      <c r="B70" s="92" t="str">
        <f>Projects!F23</f>
        <v>Distractions</v>
      </c>
      <c r="C70" s="87">
        <f>IFERROR(GETPIVOTDATA("Hours",'Hours Spent by Category'!$A$6,"Project ID",B70),"")</f>
        <v>12</v>
      </c>
      <c r="M70" s="92" t="str">
        <f>Projects!J23</f>
        <v>Life</v>
      </c>
      <c r="N70" s="87" t="str">
        <f>IFERROR(GETPIVOTDATA("Hours",'Hours Spent by Tasks'!$A$6,"Task ID",Table710[[#This Row],[Task ID]]),"")</f>
        <v/>
      </c>
    </row>
    <row r="71" spans="2:14" ht="23.4">
      <c r="B71" s="92" t="str">
        <f>Projects!F24</f>
        <v>Driving</v>
      </c>
      <c r="C71" s="87">
        <f>IFERROR(GETPIVOTDATA("Hours",'Hours Spent by Category'!$A$6,"Project ID",B71),"")</f>
        <v>14</v>
      </c>
      <c r="M71" s="92" t="str">
        <f>Projects!J24</f>
        <v>Youtube</v>
      </c>
      <c r="N71" s="87" t="str">
        <f>IFERROR(GETPIVOTDATA("Hours",'Hours Spent by Tasks'!$A$6,"Task ID",Table710[[#This Row],[Task ID]]),"")</f>
        <v/>
      </c>
    </row>
    <row r="72" spans="2:14" ht="23.4">
      <c r="B72" s="92" t="str">
        <f>Projects!F25</f>
        <v>Mental Health - Self</v>
      </c>
      <c r="C72" s="87" t="str">
        <f>IFERROR(GETPIVOTDATA("Hours",'Hours Spent by Category'!$A$6,"Project ID",B72),"")</f>
        <v/>
      </c>
      <c r="M72" s="92" t="str">
        <f>Projects!J25</f>
        <v>Gaming</v>
      </c>
      <c r="N72" s="87" t="str">
        <f>IFERROR(GETPIVOTDATA("Hours",'Hours Spent by Tasks'!$A$6,"Task ID",Table710[[#This Row],[Task ID]]),"")</f>
        <v/>
      </c>
    </row>
    <row r="73" spans="2:14" ht="23.4">
      <c r="B73" s="92" t="str">
        <f>Projects!F26</f>
        <v>Mental Health - Social</v>
      </c>
      <c r="C73" s="87">
        <f>IFERROR(GETPIVOTDATA("Hours",'Hours Spent by Category'!$A$6,"Project ID",B73),"")</f>
        <v>18</v>
      </c>
      <c r="M73" s="92" t="str">
        <f>Projects!J26</f>
        <v>Dicking Around</v>
      </c>
      <c r="N73" s="87" t="str">
        <f>IFERROR(GETPIVOTDATA("Hours",'Hours Spent by Tasks'!$A$6,"Task ID",Table710[[#This Row],[Task ID]]),"")</f>
        <v/>
      </c>
    </row>
    <row r="74" spans="2:14" ht="23.4">
      <c r="B74" s="92" t="str">
        <f>Projects!F27</f>
        <v>Personal Development</v>
      </c>
      <c r="C74" s="87">
        <f>IFERROR(GETPIVOTDATA("Hours",'Hours Spent by Category'!$A$6,"Project ID",B74),"")</f>
        <v>55.900000000000006</v>
      </c>
      <c r="M74" s="92" t="str">
        <f>Projects!J27</f>
        <v>Cuddling w/GF</v>
      </c>
      <c r="N74" s="87">
        <f>IFERROR(GETPIVOTDATA("Hours",'Hours Spent by Tasks'!$A$6,"Task ID",Table710[[#This Row],[Task ID]]),"")</f>
        <v>8</v>
      </c>
    </row>
    <row r="75" spans="2:14" ht="23.4">
      <c r="B75" s="92" t="str">
        <f>Projects!F28</f>
        <v>Physical Health</v>
      </c>
      <c r="C75" s="87">
        <f>IFERROR(GETPIVOTDATA("Hours",'Hours Spent by Category'!$A$6,"Project ID",B75),"")</f>
        <v>5.75</v>
      </c>
      <c r="M75" s="92" t="str">
        <f>Projects!J28</f>
        <v>Driving - Personal</v>
      </c>
      <c r="N75" s="87">
        <f>IFERROR(GETPIVOTDATA("Hours",'Hours Spent by Tasks'!$A$6,"Task ID",Table710[[#This Row],[Task ID]]),"")</f>
        <v>8</v>
      </c>
    </row>
    <row r="76" spans="2:14" ht="23.4">
      <c r="B76" s="92" t="str">
        <f>Projects!F29</f>
        <v>Professional Development</v>
      </c>
      <c r="C76" s="87" t="str">
        <f>IFERROR(GETPIVOTDATA("Hours",'Hours Spent by Category'!$A$6,"Project ID",B76),"")</f>
        <v/>
      </c>
      <c r="M76" s="92" t="str">
        <f>Projects!J29</f>
        <v>Driving - Work</v>
      </c>
      <c r="N76" s="87" t="str">
        <f>IFERROR(GETPIVOTDATA("Hours",'Hours Spent by Tasks'!$A$6,"Task ID",Table710[[#This Row],[Task ID]]),"")</f>
        <v/>
      </c>
    </row>
    <row r="77" spans="2:14" ht="23.4">
      <c r="B77" s="92" t="str">
        <f>Projects!F30</f>
        <v>Sleeping</v>
      </c>
      <c r="C77" s="87">
        <f>IFERROR(GETPIVOTDATA("Hours",'Hours Spent by Category'!$A$6,"Project ID",B77),"")</f>
        <v>72</v>
      </c>
      <c r="M77" s="92" t="str">
        <f>Projects!J30</f>
        <v>Recreational - Hobby</v>
      </c>
      <c r="N77" s="87" t="str">
        <f>IFERROR(GETPIVOTDATA("Hours",'Hours Spent by Tasks'!$A$6,"Task ID",Table710[[#This Row],[Task ID]]),"")</f>
        <v/>
      </c>
    </row>
    <row r="78" spans="2:14" ht="23.4">
      <c r="B78" s="92" t="str">
        <f>Projects!F31</f>
        <v>Work - Important</v>
      </c>
      <c r="C78" s="87" t="str">
        <f>IFERROR(GETPIVOTDATA("Hours",'Hours Spent by Category'!$A$6,"Project ID",B78),"")</f>
        <v/>
      </c>
      <c r="M78" s="92" t="str">
        <f>Projects!J31</f>
        <v>Recreational - Interests</v>
      </c>
      <c r="N78" s="87" t="str">
        <f>IFERROR(GETPIVOTDATA("Hours",'Hours Spent by Tasks'!$A$6,"Task ID",Table710[[#This Row],[Task ID]]),"")</f>
        <v/>
      </c>
    </row>
    <row r="79" spans="2:14" ht="23.4">
      <c r="M79" s="92" t="str">
        <f>Projects!J32</f>
        <v>Meditation</v>
      </c>
      <c r="N79" s="87" t="str">
        <f>IFERROR(GETPIVOTDATA("Hours",'Hours Spent by Tasks'!$A$6,"Task ID",Table710[[#This Row],[Task ID]]),"")</f>
        <v/>
      </c>
    </row>
    <row r="80" spans="2:14" ht="23.4">
      <c r="M80" s="92" t="str">
        <f>Projects!J33</f>
        <v>Family Time</v>
      </c>
      <c r="N80" s="87" t="str">
        <f>IFERROR(GETPIVOTDATA("Hours",'Hours Spent by Tasks'!$A$6,"Task ID",Table710[[#This Row],[Task ID]]),"")</f>
        <v/>
      </c>
    </row>
    <row r="81" spans="2:14" ht="23.4">
      <c r="B81" s="1"/>
      <c r="M81" s="92" t="str">
        <f>Projects!J34</f>
        <v>Inner Circle 1</v>
      </c>
      <c r="N81" s="87">
        <f>IFERROR(GETPIVOTDATA("Hours",'Hours Spent by Tasks'!$A$6,"Task ID",Table710[[#This Row],[Task ID]]),"")</f>
        <v>12</v>
      </c>
    </row>
    <row r="82" spans="2:14" ht="23.4">
      <c r="M82" s="92" t="str">
        <f>Projects!J35</f>
        <v>Inner Circle 2</v>
      </c>
      <c r="N82" s="87" t="str">
        <f>IFERROR(GETPIVOTDATA("Hours",'Hours Spent by Tasks'!$A$6,"Task ID",Table710[[#This Row],[Task ID]]),"")</f>
        <v/>
      </c>
    </row>
    <row r="83" spans="2:14" ht="23.4">
      <c r="M83" s="92" t="str">
        <f>Projects!J36</f>
        <v>GF Time</v>
      </c>
      <c r="N83" s="87" t="str">
        <f>IFERROR(GETPIVOTDATA("Hours",'Hours Spent by Tasks'!$A$6,"Task ID",Table710[[#This Row],[Task ID]]),"")</f>
        <v/>
      </c>
    </row>
    <row r="84" spans="2:14" ht="23.4">
      <c r="M84" s="92" t="str">
        <f>Projects!J37</f>
        <v>PD - Planning</v>
      </c>
      <c r="N84" s="87">
        <f>IFERROR(GETPIVOTDATA("Hours",'Hours Spent by Tasks'!$A$6,"Task ID",Table710[[#This Row],[Task ID]]),"")</f>
        <v>5.6</v>
      </c>
    </row>
    <row r="85" spans="2:14" ht="23.4">
      <c r="M85" s="92" t="str">
        <f>Projects!J38</f>
        <v>PD - Productivity &amp; Flow</v>
      </c>
      <c r="N85" s="87">
        <f>IFERROR(GETPIVOTDATA("Hours",'Hours Spent by Tasks'!$A$6,"Task ID",Table710[[#This Row],[Task ID]]),"")</f>
        <v>24</v>
      </c>
    </row>
    <row r="86" spans="2:14" ht="23.4">
      <c r="M86" s="92" t="str">
        <f>Projects!J39</f>
        <v>PD - Network Expanding</v>
      </c>
      <c r="N86" s="87" t="str">
        <f>IFERROR(GETPIVOTDATA("Hours",'Hours Spent by Tasks'!$A$6,"Task ID",Table710[[#This Row],[Task ID]]),"")</f>
        <v/>
      </c>
    </row>
    <row r="87" spans="2:14" ht="23.4">
      <c r="M87" s="92" t="str">
        <f>Projects!J40</f>
        <v>PD - Required Admin Work</v>
      </c>
      <c r="N87" s="87" t="str">
        <f>IFERROR(GETPIVOTDATA("Hours",'Hours Spent by Tasks'!$A$6,"Task ID",Table710[[#This Row],[Task ID]]),"")</f>
        <v/>
      </c>
    </row>
    <row r="88" spans="2:14" ht="23.4">
      <c r="M88" s="92" t="str">
        <f>Projects!J41</f>
        <v>PD - Property Management</v>
      </c>
      <c r="N88" s="87" t="str">
        <f>IFERROR(GETPIVOTDATA("Hours",'Hours Spent by Tasks'!$A$6,"Task ID",Table710[[#This Row],[Task ID]]),"")</f>
        <v/>
      </c>
    </row>
    <row r="89" spans="2:14" ht="23.4">
      <c r="M89" s="92" t="str">
        <f>Projects!J42</f>
        <v>Eating</v>
      </c>
      <c r="N89" s="87" t="str">
        <f>IFERROR(GETPIVOTDATA("Hours",'Hours Spent by Tasks'!$A$6,"Task ID",Table710[[#This Row],[Task ID]]),"")</f>
        <v/>
      </c>
    </row>
    <row r="90" spans="2:14" ht="23.4">
      <c r="M90" s="92" t="str">
        <f>Projects!J43</f>
        <v>Exercise</v>
      </c>
      <c r="N90" s="87">
        <f>IFERROR(GETPIVOTDATA("Hours",'Hours Spent by Tasks'!$A$6,"Task ID",Table710[[#This Row],[Task ID]]),"")</f>
        <v>2.75</v>
      </c>
    </row>
    <row r="91" spans="2:14" ht="23.4">
      <c r="M91" s="92" t="str">
        <f>Projects!J44</f>
        <v>Hygeine</v>
      </c>
      <c r="N91" s="87">
        <f>IFERROR(GETPIVOTDATA("Hours",'Hours Spent by Tasks'!$A$6,"Task ID",Table710[[#This Row],[Task ID]]),"")</f>
        <v>1</v>
      </c>
    </row>
    <row r="92" spans="2:14" ht="23.4">
      <c r="M92" s="92" t="str">
        <f>Projects!J45</f>
        <v>Courses</v>
      </c>
      <c r="N92" s="87" t="str">
        <f>IFERROR(GETPIVOTDATA("Hours",'Hours Spent by Tasks'!$A$6,"Task ID",Table710[[#This Row],[Task ID]]),"")</f>
        <v/>
      </c>
    </row>
    <row r="93" spans="2:14" ht="23.4">
      <c r="M93" s="92" t="str">
        <f>Projects!J46</f>
        <v>Research</v>
      </c>
      <c r="N93" s="87" t="str">
        <f>IFERROR(GETPIVOTDATA("Hours",'Hours Spent by Tasks'!$A$6,"Task ID",Table710[[#This Row],[Task ID]]),"")</f>
        <v/>
      </c>
    </row>
    <row r="94" spans="2:14" ht="23.4">
      <c r="M94" s="92" t="str">
        <f>Projects!J47</f>
        <v>Actually Sleeping</v>
      </c>
      <c r="N94" s="87">
        <f>IFERROR(GETPIVOTDATA("Hours",'Hours Spent by Tasks'!$A$6,"Task ID",Table710[[#This Row],[Task ID]]),"")</f>
        <v>39</v>
      </c>
    </row>
    <row r="95" spans="2:14" ht="23.4">
      <c r="M95" s="92" t="str">
        <f>Projects!J48</f>
        <v>Attempting to Sleep</v>
      </c>
      <c r="N95" s="87" t="str">
        <f>IFERROR(GETPIVOTDATA("Hours",'Hours Spent by Tasks'!$A$6,"Task ID",Table710[[#This Row],[Task ID]]),"")</f>
        <v/>
      </c>
    </row>
    <row r="96" spans="2:14" ht="23.4">
      <c r="M96" s="92" t="str">
        <f>Projects!J49</f>
        <v>Work - Planning</v>
      </c>
      <c r="N96" s="87" t="str">
        <f>IFERROR(GETPIVOTDATA("Hours",'Hours Spent by Tasks'!$A$6,"Task ID",Table710[[#This Row],[Task ID]]),"")</f>
        <v/>
      </c>
    </row>
    <row r="97" spans="13:14" ht="23.4">
      <c r="M97" s="92" t="str">
        <f>Projects!J50</f>
        <v>Work - Productivity &amp; Flow</v>
      </c>
      <c r="N97" s="87" t="str">
        <f>IFERROR(GETPIVOTDATA("Hours",'Hours Spent by Tasks'!$A$6,"Task ID",Table710[[#This Row],[Task ID]]),"")</f>
        <v/>
      </c>
    </row>
  </sheetData>
  <pageMargins left="0.7" right="0.7" top="0.75" bottom="0.75" header="0.3" footer="0.3"/>
  <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pageSetUpPr fitToPage="1"/>
  </sheetPr>
  <dimension ref="A1:R173"/>
  <sheetViews>
    <sheetView showGridLines="0" tabSelected="1" topLeftCell="G1" zoomScale="85" zoomScaleNormal="85" workbookViewId="0">
      <selection activeCell="G14" sqref="G14"/>
    </sheetView>
  </sheetViews>
  <sheetFormatPr defaultColWidth="9.109375" defaultRowHeight="14.4"/>
  <cols>
    <col min="1" max="1" width="6.77734375" style="21" hidden="1" customWidth="1"/>
    <col min="2" max="2" width="9.109375" hidden="1" customWidth="1"/>
    <col min="3" max="3" width="18.6640625" hidden="1" customWidth="1"/>
    <col min="4" max="4" width="8.88671875" style="21" hidden="1" customWidth="1"/>
    <col min="5" max="5" width="9.33203125" style="21" hidden="1" customWidth="1"/>
    <col min="6" max="6" width="20.88671875" style="21" hidden="1" customWidth="1"/>
    <col min="7" max="7" width="11.88671875" style="21" customWidth="1"/>
    <col min="8" max="8" width="20.88671875" style="21" bestFit="1" customWidth="1"/>
    <col min="9" max="9" width="22.77734375" style="2" bestFit="1" customWidth="1"/>
    <col min="10" max="10" width="13.109375" style="2" customWidth="1"/>
    <col min="11" max="11" width="27.109375" style="2" bestFit="1" customWidth="1"/>
    <col min="12" max="12" width="12.77734375" style="2" customWidth="1"/>
    <col min="13" max="13" width="15.21875" style="2" customWidth="1"/>
    <col min="14" max="14" width="13.6640625" style="2" customWidth="1"/>
    <col min="15" max="15" width="8" hidden="1" customWidth="1"/>
    <col min="16" max="16" width="8.88671875" style="2" bestFit="1" customWidth="1"/>
    <col min="17" max="17" width="16" style="2" bestFit="1" customWidth="1"/>
    <col min="18" max="18" width="6.109375" style="38" bestFit="1" customWidth="1"/>
    <col min="19" max="19" width="14.5546875" style="38" bestFit="1" customWidth="1"/>
    <col min="20" max="20" width="7" style="38" bestFit="1" customWidth="1"/>
    <col min="21" max="21" width="43.33203125" style="38" customWidth="1"/>
    <col min="22" max="16384" width="9.109375" style="38"/>
  </cols>
  <sheetData>
    <row r="1" spans="1:18" s="2" customFormat="1" ht="22.8" thickBot="1">
      <c r="B1" s="4"/>
      <c r="G1" s="4" t="s">
        <v>97</v>
      </c>
      <c r="M1"/>
      <c r="N1" s="10"/>
    </row>
    <row r="2" spans="1:18" s="2" customFormat="1" ht="15" thickBot="1">
      <c r="G2" s="3"/>
      <c r="H2" s="24" t="s">
        <v>66</v>
      </c>
      <c r="I2" s="25"/>
      <c r="J2" s="3"/>
      <c r="L2" s="69" t="s">
        <v>15</v>
      </c>
      <c r="M2" s="23"/>
      <c r="N2"/>
      <c r="O2"/>
      <c r="Q2" s="24" t="s">
        <v>16</v>
      </c>
      <c r="R2" s="25"/>
    </row>
    <row r="3" spans="1:18" s="2" customFormat="1">
      <c r="H3" s="96">
        <f ca="1">TODAY()</f>
        <v>44278</v>
      </c>
      <c r="I3" s="97">
        <f ca="1">SUMIF(TimeLogTable[[#All],[Date]],"="&amp;H3,TimeLogTable[[#All],[Hours]])</f>
        <v>0</v>
      </c>
      <c r="J3"/>
      <c r="L3" s="48" t="s">
        <v>17</v>
      </c>
      <c r="M3" s="45">
        <f ca="1">TODAY()</f>
        <v>44278</v>
      </c>
      <c r="N3"/>
      <c r="Q3" s="28">
        <f>($M$8-WEEKDAY($M$8,1)+2)</f>
        <v>44277</v>
      </c>
      <c r="R3" s="29">
        <f>SUMIF(TimeLogTable[[#All],[Date]],"="&amp;Q3,TimeLogTable[[#All],[Hours]])</f>
        <v>0</v>
      </c>
    </row>
    <row r="4" spans="1:18" s="2" customFormat="1" ht="15" thickBot="1">
      <c r="H4" s="98">
        <f ca="1">$H$3-1</f>
        <v>44277</v>
      </c>
      <c r="I4" s="99">
        <f ca="1">SUMIF(TimeLogTable[[#All],[Date]],"="&amp;H4,TimeLogTable[[#All],[Hours]])</f>
        <v>0</v>
      </c>
      <c r="L4" s="46" t="s">
        <v>21</v>
      </c>
      <c r="M4" s="47">
        <f ca="1">SUMIF(TimeLogTable[[#All],[Date]],"="&amp;M3,TimeLogTable[[#All],[Hours]])</f>
        <v>0</v>
      </c>
      <c r="N4"/>
      <c r="Q4" s="26">
        <f t="shared" ref="Q4:Q9" si="0">Q3+1</f>
        <v>44278</v>
      </c>
      <c r="R4" s="27">
        <f>SUMIF(TimeLogTable[[#All],[Date]],"="&amp;Q4,TimeLogTable[[#All],[Hours]])</f>
        <v>0</v>
      </c>
    </row>
    <row r="5" spans="1:18" s="2" customFormat="1">
      <c r="A5"/>
      <c r="B5" s="1"/>
      <c r="C5" s="1"/>
      <c r="D5" s="1"/>
      <c r="E5" s="1"/>
      <c r="F5" s="1"/>
      <c r="G5"/>
      <c r="H5" s="98">
        <f ca="1">$H$3-2</f>
        <v>44276</v>
      </c>
      <c r="I5" s="99">
        <f ca="1">SUMIF(TimeLogTable[[#All],[Date]],"="&amp;H5,TimeLogTable[[#All],[Hours]])</f>
        <v>0</v>
      </c>
      <c r="N5"/>
      <c r="Q5" s="26">
        <f t="shared" si="0"/>
        <v>44279</v>
      </c>
      <c r="R5" s="27">
        <f>SUMIF(TimeLogTable[[#All],[Date]],"="&amp;Q5,TimeLogTable[[#All],[Hours]])</f>
        <v>0</v>
      </c>
    </row>
    <row r="6" spans="1:18" s="2" customFormat="1" ht="15" thickBot="1">
      <c r="A6"/>
      <c r="B6" s="1"/>
      <c r="C6" s="1"/>
      <c r="D6" s="1"/>
      <c r="E6" s="1"/>
      <c r="F6" s="1"/>
      <c r="G6"/>
      <c r="H6" s="98">
        <f ca="1">$H$3-3</f>
        <v>44275</v>
      </c>
      <c r="I6" s="99">
        <f ca="1">SUMIF(TimeLogTable[[#All],[Date]],"="&amp;H6,TimeLogTable[[#All],[Hours]])</f>
        <v>13.1</v>
      </c>
      <c r="N6"/>
      <c r="Q6" s="26">
        <f t="shared" si="0"/>
        <v>44280</v>
      </c>
      <c r="R6" s="27">
        <f>SUMIF(TimeLogTable[[#All],[Date]],"="&amp;Q6,TimeLogTable[[#All],[Hours]])</f>
        <v>0</v>
      </c>
    </row>
    <row r="7" spans="1:18" s="2" customFormat="1">
      <c r="A7"/>
      <c r="B7" s="1"/>
      <c r="C7" s="1"/>
      <c r="D7" s="1"/>
      <c r="E7" s="1"/>
      <c r="F7" s="1"/>
      <c r="G7"/>
      <c r="H7" s="98">
        <f ca="1">$H$3-4</f>
        <v>44274</v>
      </c>
      <c r="I7" s="99">
        <f ca="1">SUMIF(TimeLogTable[[#All],[Date]],"="&amp;H7,TimeLogTable[[#All],[Hours]])</f>
        <v>9</v>
      </c>
      <c r="L7" s="69" t="s">
        <v>14</v>
      </c>
      <c r="M7" s="23"/>
      <c r="N7"/>
      <c r="Q7" s="26">
        <f t="shared" si="0"/>
        <v>44281</v>
      </c>
      <c r="R7" s="27">
        <f>SUMIF(TimeLogTable[[#All],[Date]],"="&amp;Q7,TimeLogTable[[#All],[Hours]])</f>
        <v>0</v>
      </c>
    </row>
    <row r="8" spans="1:18" s="2" customFormat="1">
      <c r="A8"/>
      <c r="B8" s="1"/>
      <c r="C8" s="1"/>
      <c r="D8" s="1"/>
      <c r="E8" s="1"/>
      <c r="F8" s="1"/>
      <c r="H8" s="98">
        <f ca="1">$H$3-5</f>
        <v>44273</v>
      </c>
      <c r="I8" s="99">
        <f ca="1">SUMIF(TimeLogTable[[#All],[Date]],"="&amp;H8,TimeLogTable[[#All],[Hours]])</f>
        <v>14</v>
      </c>
      <c r="L8" s="44" t="s">
        <v>19</v>
      </c>
      <c r="M8" s="45">
        <v>44278</v>
      </c>
      <c r="N8"/>
      <c r="O8"/>
      <c r="Q8" s="26">
        <f t="shared" si="0"/>
        <v>44282</v>
      </c>
      <c r="R8" s="27">
        <f>SUMIF(TimeLogTable[[#All],[Date]],"="&amp;Q8,TimeLogTable[[#All],[Hours]])</f>
        <v>0</v>
      </c>
    </row>
    <row r="9" spans="1:18" s="2" customFormat="1" ht="15" thickBot="1">
      <c r="H9" s="100">
        <f ca="1">$H$3-6</f>
        <v>44272</v>
      </c>
      <c r="I9" s="101">
        <f ca="1">SUMIF(TimeLogTable[[#All],[Date]],"="&amp;H9,TimeLogTable[[#All],[Hours]])</f>
        <v>21.5</v>
      </c>
      <c r="J9" s="3"/>
      <c r="L9" s="44" t="s">
        <v>20</v>
      </c>
      <c r="M9" s="45">
        <f>M8+7</f>
        <v>44285</v>
      </c>
      <c r="N9" s="10" t="str">
        <f>"("&amp;M9-M8&amp;" days)"</f>
        <v>(7 days)</v>
      </c>
      <c r="O9"/>
      <c r="Q9" s="30">
        <f t="shared" si="0"/>
        <v>44283</v>
      </c>
      <c r="R9" s="31">
        <f>SUMIF(TimeLogTable[[#All],[Date]],"="&amp;Q9,TimeLogTable[[#All],[Hours]])</f>
        <v>0</v>
      </c>
    </row>
    <row r="10" spans="1:18" s="2" customFormat="1" ht="15" thickBot="1">
      <c r="H10" s="32" t="s">
        <v>18</v>
      </c>
      <c r="I10" s="33">
        <f ca="1">SUM(I3:I9)</f>
        <v>57.6</v>
      </c>
      <c r="J10" s="3"/>
      <c r="L10" s="46" t="s">
        <v>21</v>
      </c>
      <c r="M10" s="47">
        <f>SUMIF(TimeLogTable[[#All],[Current Period]],"=yes",TimeLogTable[[#All],[Hours]])</f>
        <v>0</v>
      </c>
      <c r="N10"/>
      <c r="O10"/>
      <c r="Q10" s="32" t="s">
        <v>18</v>
      </c>
      <c r="R10" s="33">
        <f>SUM(R3:R9)</f>
        <v>0</v>
      </c>
    </row>
    <row r="11" spans="1:18" ht="15" thickBot="1">
      <c r="A11" s="3"/>
      <c r="B11" s="3"/>
      <c r="C11" s="3"/>
      <c r="D11" s="3"/>
      <c r="E11" s="3"/>
      <c r="F11" s="3"/>
      <c r="G11" s="3"/>
      <c r="H11" s="3"/>
      <c r="I11" s="3"/>
      <c r="J11" s="3"/>
      <c r="K11" s="3"/>
      <c r="L11"/>
      <c r="M11"/>
      <c r="N11"/>
      <c r="P11" s="38"/>
      <c r="Q11" s="38"/>
    </row>
    <row r="12" spans="1:18" ht="15" thickBot="1">
      <c r="A12" s="70" t="s">
        <v>96</v>
      </c>
      <c r="B12" s="71"/>
      <c r="C12" s="71"/>
      <c r="D12" s="71"/>
      <c r="E12" s="93"/>
      <c r="F12" s="94"/>
      <c r="G12" s="3">
        <v>7</v>
      </c>
      <c r="H12" s="3">
        <v>8</v>
      </c>
      <c r="I12" s="3">
        <v>9</v>
      </c>
      <c r="J12" s="3">
        <v>10</v>
      </c>
      <c r="K12" s="3">
        <v>11</v>
      </c>
      <c r="L12" s="3">
        <v>12</v>
      </c>
      <c r="M12" s="3">
        <v>13</v>
      </c>
      <c r="N12" s="3">
        <v>14</v>
      </c>
      <c r="O12" s="3">
        <v>15</v>
      </c>
      <c r="P12" s="38"/>
      <c r="Q12" s="38"/>
    </row>
    <row r="13" spans="1:18" ht="27.75" customHeight="1" thickBot="1">
      <c r="A13" s="40" t="s">
        <v>68</v>
      </c>
      <c r="B13" s="40" t="s">
        <v>67</v>
      </c>
      <c r="C13" s="40" t="s">
        <v>90</v>
      </c>
      <c r="D13" s="40" t="s">
        <v>91</v>
      </c>
      <c r="E13" s="40" t="s">
        <v>70</v>
      </c>
      <c r="F13" s="40" t="s">
        <v>72</v>
      </c>
      <c r="G13" s="34" t="s">
        <v>3</v>
      </c>
      <c r="H13" s="35" t="s">
        <v>1</v>
      </c>
      <c r="I13" s="35" t="s">
        <v>0</v>
      </c>
      <c r="J13" s="40" t="s">
        <v>73</v>
      </c>
      <c r="K13" s="35" t="s">
        <v>10</v>
      </c>
      <c r="L13" s="36" t="s">
        <v>11</v>
      </c>
      <c r="M13" s="36" t="s">
        <v>13</v>
      </c>
      <c r="N13" s="36" t="s">
        <v>12</v>
      </c>
      <c r="O13" s="36" t="s">
        <v>22</v>
      </c>
      <c r="P13" s="35" t="s">
        <v>4</v>
      </c>
      <c r="Q13" s="37" t="s">
        <v>14</v>
      </c>
    </row>
    <row r="14" spans="1:18">
      <c r="A14" s="20" t="str">
        <f>TEXT(TimeLogTable[[#This Row],[Date]], "yyyy")</f>
        <v>2021</v>
      </c>
      <c r="B14" s="20" t="str">
        <f>TEXT(TimeLogTable[[#This Row],[Date]], "mmm")</f>
        <v>Mar</v>
      </c>
      <c r="C14" s="20" t="str">
        <f>IFERROR(LOOKUP(TimeLogTable[[#This Row],[Date]],Table44[Start Date],Table44[Week Of]),"")</f>
        <v/>
      </c>
      <c r="D14" s="41" t="str">
        <f>TEXT(TimeLogTable[[#This Row],[Date]],"dddd")</f>
        <v>Monday</v>
      </c>
      <c r="E14" s="41" t="str">
        <f>IFERROR(LOOKUP(TimeLogTable[[#This Row],[Start
Time]],Table4[Start Time],Table4[Time of Day]),"")</f>
        <v>Late Evening</v>
      </c>
      <c r="F14" s="41" t="str">
        <f>IFERROR(INDEX(Projects[Productive],MATCH(TimeLogTable[[#This Row],[Task ID]],Projects[Task ID],0)),"")</f>
        <v>Productive Hours</v>
      </c>
      <c r="G14" s="61">
        <v>44270</v>
      </c>
      <c r="H14" s="41" t="s">
        <v>107</v>
      </c>
      <c r="I14" s="42" t="s">
        <v>45</v>
      </c>
      <c r="J14" s="43"/>
      <c r="K14" s="42"/>
      <c r="L14" s="19">
        <v>0.9375</v>
      </c>
      <c r="M14" s="19"/>
      <c r="N14" s="22">
        <v>0.25</v>
      </c>
      <c r="O14" s="18"/>
      <c r="P14" s="16">
        <f t="shared" ref="P14:P45" si="1">O14/60+ROUND(IF((OR(L14="",N14="")),0,IF((N14&lt;L14),((N14-L14)*24)+24,(N14-L14)*24)-M14/60),2)</f>
        <v>7.5</v>
      </c>
      <c r="Q14" s="16" t="str">
        <f>IF(AND(TimeLogTable[[#This Row],[Date]]&gt;=$M$8,TimeLogTable[[#This Row],[Date]]&lt;=$M$9),"yes","no")</f>
        <v>no</v>
      </c>
    </row>
    <row r="15" spans="1:18">
      <c r="A15" s="20" t="str">
        <f>TEXT(TimeLogTable[[#This Row],[Date]], "yyyy")</f>
        <v>2021</v>
      </c>
      <c r="B15" s="20" t="str">
        <f>TEXT(TimeLogTable[[#This Row],[Date]], "mmm")</f>
        <v>Mar</v>
      </c>
      <c r="C15" s="20" t="str">
        <f>IFERROR(LOOKUP(TimeLogTable[[#This Row],[Date]],Table44[Start Date],Table44[Week Of]),"")</f>
        <v/>
      </c>
      <c r="D15" s="41" t="str">
        <f>TEXT(TimeLogTable[[#This Row],[Date]],"dddd")</f>
        <v>Monday</v>
      </c>
      <c r="E15" s="41" t="str">
        <f>IFERROR(LOOKUP(TimeLogTable[[#This Row],[Start
Time]],Table4[Start Time],Table4[Time of Day]),"")</f>
        <v>Early Morning</v>
      </c>
      <c r="F15" s="41" t="str">
        <f>IFERROR(INDEX(Projects[Productive],MATCH(TimeLogTable[[#This Row],[Task ID]],Projects[Task ID],0)),"")</f>
        <v>Productive Hours</v>
      </c>
      <c r="G15" s="61">
        <v>44270</v>
      </c>
      <c r="H15" s="41" t="s">
        <v>29</v>
      </c>
      <c r="I15" s="42" t="s">
        <v>28</v>
      </c>
      <c r="J15" s="43"/>
      <c r="K15" s="43" t="s">
        <v>59</v>
      </c>
      <c r="L15" s="19">
        <v>0.29166666666666669</v>
      </c>
      <c r="M15" s="19"/>
      <c r="N15" s="19">
        <v>0.3125</v>
      </c>
      <c r="O15" s="18"/>
      <c r="P15" s="16">
        <f t="shared" si="1"/>
        <v>0.5</v>
      </c>
      <c r="Q15" s="16" t="str">
        <f>IF(AND(TimeLogTable[[#This Row],[Date]]&gt;=$M$8,TimeLogTable[[#This Row],[Date]]&lt;=$M$9),"yes","no")</f>
        <v>no</v>
      </c>
    </row>
    <row r="16" spans="1:18">
      <c r="A16" s="20" t="str">
        <f>TEXT(TimeLogTable[[#This Row],[Date]], "yyyy")</f>
        <v>2021</v>
      </c>
      <c r="B16" s="20" t="str">
        <f>TEXT(TimeLogTable[[#This Row],[Date]], "mmm")</f>
        <v>Mar</v>
      </c>
      <c r="C16" s="20" t="str">
        <f>IFERROR(LOOKUP(TimeLogTable[[#This Row],[Date]],Table44[Start Date],Table44[Week Of]),"")</f>
        <v/>
      </c>
      <c r="D16" s="41" t="str">
        <f>TEXT(TimeLogTable[[#This Row],[Date]],"dddd")</f>
        <v>Monday</v>
      </c>
      <c r="E16" s="41" t="str">
        <f>IFERROR(LOOKUP(TimeLogTable[[#This Row],[Start
Time]],Table4[Start Time],Table4[Time of Day]),"")</f>
        <v>Early Morning</v>
      </c>
      <c r="F16" s="41" t="str">
        <f>IFERROR(INDEX(Projects[Productive],MATCH(TimeLogTable[[#This Row],[Task ID]],Projects[Task ID],0)),"")</f>
        <v>Productive Hours</v>
      </c>
      <c r="G16" s="61">
        <v>44270</v>
      </c>
      <c r="H16" s="41" t="s">
        <v>29</v>
      </c>
      <c r="I16" s="42" t="s">
        <v>32</v>
      </c>
      <c r="J16" s="43"/>
      <c r="K16" s="43" t="s">
        <v>58</v>
      </c>
      <c r="L16" s="19">
        <v>0.32291666666666669</v>
      </c>
      <c r="M16" s="19"/>
      <c r="N16" s="19">
        <v>0.33333333333333331</v>
      </c>
      <c r="O16" s="18"/>
      <c r="P16" s="16">
        <f t="shared" si="1"/>
        <v>0.25</v>
      </c>
      <c r="Q16" s="16" t="str">
        <f>IF(AND(TimeLogTable[[#This Row],[Date]]&gt;=$M$8,TimeLogTable[[#This Row],[Date]]&lt;=$M$9),"yes","no")</f>
        <v>no</v>
      </c>
    </row>
    <row r="17" spans="1:17">
      <c r="A17" s="20" t="str">
        <f>TEXT(TimeLogTable[[#This Row],[Date]], "yyyy")</f>
        <v>2021</v>
      </c>
      <c r="B17" s="20" t="str">
        <f>TEXT(TimeLogTable[[#This Row],[Date]], "mmm")</f>
        <v>Mar</v>
      </c>
      <c r="C17" s="20" t="str">
        <f>IFERROR(LOOKUP(TimeLogTable[[#This Row],[Date]],Table44[Start Date],Table44[Week Of]),"")</f>
        <v/>
      </c>
      <c r="D17" s="41" t="str">
        <f>TEXT(TimeLogTable[[#This Row],[Date]],"dddd")</f>
        <v>Monday</v>
      </c>
      <c r="E17" s="41" t="str">
        <f>IFERROR(LOOKUP(TimeLogTable[[#This Row],[Start
Time]],Table4[Start Time],Table4[Time of Day]),"")</f>
        <v>Early Morning</v>
      </c>
      <c r="F17" s="41" t="str">
        <f>IFERROR(INDEX(Projects[Productive],MATCH(TimeLogTable[[#This Row],[Task ID]],Projects[Task ID],0)),"")</f>
        <v>Productive Hours</v>
      </c>
      <c r="G17" s="61">
        <v>44270</v>
      </c>
      <c r="H17" s="41" t="s">
        <v>33</v>
      </c>
      <c r="I17" s="43" t="s">
        <v>78</v>
      </c>
      <c r="J17" s="43"/>
      <c r="K17" s="43" t="s">
        <v>60</v>
      </c>
      <c r="L17" s="19">
        <v>0.33333333333333331</v>
      </c>
      <c r="M17" s="19"/>
      <c r="N17" s="19">
        <v>0.34375</v>
      </c>
      <c r="O17" s="18"/>
      <c r="P17" s="16">
        <f t="shared" si="1"/>
        <v>0.25</v>
      </c>
      <c r="Q17" s="16" t="str">
        <f>IF(AND(TimeLogTable[[#This Row],[Date]]&gt;=$M$8,TimeLogTable[[#This Row],[Date]]&lt;=$M$9),"yes","no")</f>
        <v>no</v>
      </c>
    </row>
    <row r="18" spans="1:17">
      <c r="A18" s="20" t="str">
        <f>TEXT(TimeLogTable[[#This Row],[Date]], "yyyy")</f>
        <v>2021</v>
      </c>
      <c r="B18" s="20" t="str">
        <f>TEXT(TimeLogTable[[#This Row],[Date]], "mmm")</f>
        <v>Mar</v>
      </c>
      <c r="C18" s="20" t="str">
        <f>IFERROR(LOOKUP(TimeLogTable[[#This Row],[Date]],Table44[Start Date],Table44[Week Of]),"")</f>
        <v/>
      </c>
      <c r="D18" s="41" t="str">
        <f>TEXT(TimeLogTable[[#This Row],[Date]],"dddd")</f>
        <v>Monday</v>
      </c>
      <c r="E18" s="41" t="str">
        <f>IFERROR(LOOKUP(TimeLogTable[[#This Row],[Start
Time]],Table4[Start Time],Table4[Time of Day]),"")</f>
        <v>Early Morning</v>
      </c>
      <c r="F18" s="41" t="str">
        <f>IFERROR(INDEX(Projects[Productive],MATCH(TimeLogTable[[#This Row],[Task ID]],Projects[Task ID],0)),"")</f>
        <v>Wasted Hours</v>
      </c>
      <c r="G18" s="61">
        <v>44270</v>
      </c>
      <c r="H18" s="41" t="s">
        <v>49</v>
      </c>
      <c r="I18" s="42" t="s">
        <v>50</v>
      </c>
      <c r="J18" s="43"/>
      <c r="K18" s="43" t="s">
        <v>61</v>
      </c>
      <c r="L18" s="19">
        <v>0.34375</v>
      </c>
      <c r="M18" s="19"/>
      <c r="N18" s="19">
        <v>0.375</v>
      </c>
      <c r="O18" s="18"/>
      <c r="P18" s="16">
        <f t="shared" si="1"/>
        <v>0.75</v>
      </c>
      <c r="Q18" s="16" t="str">
        <f>IF(AND(TimeLogTable[[#This Row],[Date]]&gt;=$M$8,TimeLogTable[[#This Row],[Date]]&lt;=$M$9),"yes","no")</f>
        <v>no</v>
      </c>
    </row>
    <row r="19" spans="1:17">
      <c r="A19" s="20" t="str">
        <f>TEXT(TimeLogTable[[#This Row],[Date]], "yyyy")</f>
        <v>2021</v>
      </c>
      <c r="B19" s="20" t="str">
        <f>TEXT(TimeLogTable[[#This Row],[Date]], "mmm")</f>
        <v>Mar</v>
      </c>
      <c r="C19" s="20" t="str">
        <f>IFERROR(LOOKUP(TimeLogTable[[#This Row],[Date]],Table44[Start Date],Table44[Week Of]),"")</f>
        <v/>
      </c>
      <c r="D19" s="41" t="str">
        <f>TEXT(TimeLogTable[[#This Row],[Date]],"dddd")</f>
        <v>Monday</v>
      </c>
      <c r="E19" s="41" t="str">
        <f>IFERROR(LOOKUP(TimeLogTable[[#This Row],[Start
Time]],Table4[Start Time],Table4[Time of Day]),"")</f>
        <v>Morning</v>
      </c>
      <c r="F19" s="41" t="str">
        <f>IFERROR(INDEX(Projects[Productive],MATCH(TimeLogTable[[#This Row],[Task ID]],Projects[Task ID],0)),"")</f>
        <v>Productive Hours</v>
      </c>
      <c r="G19" s="61">
        <v>44270</v>
      </c>
      <c r="H19" s="41" t="s">
        <v>33</v>
      </c>
      <c r="I19" s="43" t="s">
        <v>79</v>
      </c>
      <c r="J19" s="43"/>
      <c r="K19" s="43" t="s">
        <v>62</v>
      </c>
      <c r="L19" s="19">
        <v>0.375</v>
      </c>
      <c r="M19" s="19"/>
      <c r="N19" s="19">
        <v>0.5</v>
      </c>
      <c r="O19" s="18"/>
      <c r="P19" s="16">
        <f t="shared" si="1"/>
        <v>3</v>
      </c>
      <c r="Q19" s="16" t="str">
        <f>IF(AND(TimeLogTable[[#This Row],[Date]]&gt;=$M$8,TimeLogTable[[#This Row],[Date]]&lt;=$M$9),"yes","no")</f>
        <v>no</v>
      </c>
    </row>
    <row r="20" spans="1:17">
      <c r="A20" s="20" t="str">
        <f>TEXT(TimeLogTable[[#This Row],[Date]], "yyyy")</f>
        <v>2021</v>
      </c>
      <c r="B20" s="20" t="str">
        <f>TEXT(TimeLogTable[[#This Row],[Date]], "mmm")</f>
        <v>Mar</v>
      </c>
      <c r="C20" s="20" t="str">
        <f>IFERROR(LOOKUP(TimeLogTable[[#This Row],[Date]],Table44[Start Date],Table44[Week Of]),"")</f>
        <v/>
      </c>
      <c r="D20" s="41" t="str">
        <f>TEXT(TimeLogTable[[#This Row],[Date]],"dddd")</f>
        <v>Monday</v>
      </c>
      <c r="E20" s="41" t="str">
        <f>IFERROR(LOOKUP(TimeLogTable[[#This Row],[Start
Time]],Table4[Start Time],Table4[Time of Day]),"")</f>
        <v>Afternoon</v>
      </c>
      <c r="F20" s="41" t="str">
        <f>IFERROR(INDEX(Projects[Productive],MATCH(TimeLogTable[[#This Row],[Task ID]],Projects[Task ID],0)),"")</f>
        <v>Wasted Hours</v>
      </c>
      <c r="G20" s="61">
        <v>44270</v>
      </c>
      <c r="H20" s="41" t="s">
        <v>38</v>
      </c>
      <c r="I20" s="42" t="s">
        <v>39</v>
      </c>
      <c r="J20" s="43"/>
      <c r="K20" s="43" t="s">
        <v>110</v>
      </c>
      <c r="L20" s="19">
        <v>0.5</v>
      </c>
      <c r="M20" s="19"/>
      <c r="N20" s="19">
        <v>0.625</v>
      </c>
      <c r="O20" s="18"/>
      <c r="P20" s="16">
        <f t="shared" si="1"/>
        <v>3</v>
      </c>
      <c r="Q20" s="16" t="str">
        <f>IF(AND(TimeLogTable[[#This Row],[Date]]&gt;=$M$8,TimeLogTable[[#This Row],[Date]]&lt;=$M$9),"yes","no")</f>
        <v>no</v>
      </c>
    </row>
    <row r="21" spans="1:17">
      <c r="A21" s="20" t="str">
        <f>TEXT(TimeLogTable[[#This Row],[Date]], "yyyy")</f>
        <v>2021</v>
      </c>
      <c r="B21" s="20" t="str">
        <f>TEXT(TimeLogTable[[#This Row],[Date]], "mmm")</f>
        <v>Mar</v>
      </c>
      <c r="C21" s="20" t="str">
        <f>IFERROR(LOOKUP(TimeLogTable[[#This Row],[Date]],Table44[Start Date],Table44[Week Of]),"")</f>
        <v/>
      </c>
      <c r="D21" s="41" t="str">
        <f>TEXT(TimeLogTable[[#This Row],[Date]],"dddd")</f>
        <v>Monday</v>
      </c>
      <c r="E21" s="41" t="str">
        <f>IFERROR(LOOKUP(TimeLogTable[[#This Row],[Start
Time]],Table4[Start Time],Table4[Time of Day]),"")</f>
        <v>Afternoon</v>
      </c>
      <c r="F21" s="41" t="str">
        <f>IFERROR(INDEX(Projects[Productive],MATCH(TimeLogTable[[#This Row],[Task ID]],Projects[Task ID],0)),"")</f>
        <v>Productive Hours</v>
      </c>
      <c r="G21" s="61">
        <v>44270</v>
      </c>
      <c r="H21" s="41" t="s">
        <v>33</v>
      </c>
      <c r="I21" s="42" t="s">
        <v>79</v>
      </c>
      <c r="J21" s="43"/>
      <c r="K21" s="43" t="s">
        <v>64</v>
      </c>
      <c r="L21" s="19">
        <v>0.625</v>
      </c>
      <c r="M21" s="19"/>
      <c r="N21" s="19">
        <v>0.75</v>
      </c>
      <c r="O21" s="18"/>
      <c r="P21" s="16">
        <f t="shared" si="1"/>
        <v>3</v>
      </c>
      <c r="Q21" s="16" t="str">
        <f>IF(AND(TimeLogTable[[#This Row],[Date]]&gt;=$M$8,TimeLogTable[[#This Row],[Date]]&lt;=$M$9),"yes","no")</f>
        <v>no</v>
      </c>
    </row>
    <row r="22" spans="1:17">
      <c r="A22" s="20" t="str">
        <f>TEXT(TimeLogTable[[#This Row],[Date]], "yyyy")</f>
        <v>2021</v>
      </c>
      <c r="B22" s="20" t="str">
        <f>TEXT(TimeLogTable[[#This Row],[Date]], "mmm")</f>
        <v>Mar</v>
      </c>
      <c r="C22" s="20" t="str">
        <f>IFERROR(LOOKUP(TimeLogTable[[#This Row],[Date]],Table44[Start Date],Table44[Week Of]),"")</f>
        <v/>
      </c>
      <c r="D22" s="41" t="str">
        <f>TEXT(TimeLogTable[[#This Row],[Date]],"dddd")</f>
        <v>Monday</v>
      </c>
      <c r="E22" s="41" t="str">
        <f>IFERROR(LOOKUP(TimeLogTable[[#This Row],[Start
Time]],Table4[Start Time],Table4[Time of Day]),"")</f>
        <v>Evening</v>
      </c>
      <c r="F22" s="41" t="str">
        <f>IFERROR(INDEX(Projects[Productive],MATCH(TimeLogTable[[#This Row],[Task ID]],Projects[Task ID],0)),"")</f>
        <v>Wasted Hours</v>
      </c>
      <c r="G22" s="61">
        <v>44270</v>
      </c>
      <c r="H22" s="41" t="s">
        <v>49</v>
      </c>
      <c r="I22" s="42" t="s">
        <v>50</v>
      </c>
      <c r="J22" s="43"/>
      <c r="K22" s="43" t="s">
        <v>65</v>
      </c>
      <c r="L22" s="19">
        <v>0.75</v>
      </c>
      <c r="M22" s="19"/>
      <c r="N22" s="19">
        <v>0.79166666666666663</v>
      </c>
      <c r="O22" s="18"/>
      <c r="P22" s="16">
        <f t="shared" si="1"/>
        <v>1</v>
      </c>
      <c r="Q22" s="16" t="str">
        <f>IF(AND(TimeLogTable[[#This Row],[Date]]&gt;=$M$8,TimeLogTable[[#This Row],[Date]]&lt;=$M$9),"yes","no")</f>
        <v>no</v>
      </c>
    </row>
    <row r="23" spans="1:17">
      <c r="A23" s="20" t="str">
        <f>TEXT(TimeLogTable[[#This Row],[Date]], "yyyy")</f>
        <v>2021</v>
      </c>
      <c r="B23" s="20" t="str">
        <f>TEXT(TimeLogTable[[#This Row],[Date]], "mmm")</f>
        <v>Mar</v>
      </c>
      <c r="C23" s="20" t="str">
        <f>IFERROR(LOOKUP(TimeLogTable[[#This Row],[Date]],Table44[Start Date],Table44[Week Of]),"")</f>
        <v/>
      </c>
      <c r="D23" s="41" t="str">
        <f>TEXT(TimeLogTable[[#This Row],[Date]],"dddd")</f>
        <v>Monday</v>
      </c>
      <c r="E23" s="41" t="str">
        <f>IFERROR(LOOKUP(TimeLogTable[[#This Row],[Start
Time]],Table4[Start Time],Table4[Time of Day]),"")</f>
        <v>Evening</v>
      </c>
      <c r="F23" s="41" t="str">
        <f>IFERROR(INDEX(Projects[Productive],MATCH(TimeLogTable[[#This Row],[Task ID]],Projects[Task ID],0)),"")</f>
        <v>Wasted Hours</v>
      </c>
      <c r="G23" s="61">
        <v>44270</v>
      </c>
      <c r="H23" s="41" t="s">
        <v>26</v>
      </c>
      <c r="I23" s="42" t="s">
        <v>56</v>
      </c>
      <c r="J23" s="43"/>
      <c r="K23" s="43" t="s">
        <v>57</v>
      </c>
      <c r="L23" s="19">
        <v>0.79166666666666663</v>
      </c>
      <c r="M23" s="19"/>
      <c r="N23" s="19">
        <v>0.875</v>
      </c>
      <c r="O23" s="18"/>
      <c r="P23" s="16">
        <f t="shared" si="1"/>
        <v>2</v>
      </c>
      <c r="Q23" s="16" t="str">
        <f>IF(AND(TimeLogTable[[#This Row],[Date]]&gt;=$M$8,TimeLogTable[[#This Row],[Date]]&lt;=$M$9),"yes","no")</f>
        <v>no</v>
      </c>
    </row>
    <row r="24" spans="1:17">
      <c r="A24" s="20" t="str">
        <f>TEXT(TimeLogTable[[#This Row],[Date]], "yyyy")</f>
        <v>2021</v>
      </c>
      <c r="B24" s="20" t="str">
        <f>TEXT(TimeLogTable[[#This Row],[Date]], "mmm")</f>
        <v>Mar</v>
      </c>
      <c r="C24" s="20" t="str">
        <f>IFERROR(LOOKUP(TimeLogTable[[#This Row],[Date]],Table44[Start Date],Table44[Week Of]),"")</f>
        <v/>
      </c>
      <c r="D24" s="41" t="str">
        <f>TEXT(TimeLogTable[[#This Row],[Date]],"dddd")</f>
        <v>Tuesday</v>
      </c>
      <c r="E24" s="41" t="str">
        <f>IFERROR(LOOKUP(TimeLogTable[[#This Row],[Start
Time]],Table4[Start Time],Table4[Time of Day]),"")</f>
        <v>Late Evening</v>
      </c>
      <c r="F24" s="41" t="str">
        <f>IFERROR(INDEX(Projects[Productive],MATCH(TimeLogTable[[#This Row],[Task ID]],Projects[Task ID],0)),"")</f>
        <v>Productive Hours</v>
      </c>
      <c r="G24" s="61">
        <v>44271</v>
      </c>
      <c r="H24" s="41" t="s">
        <v>107</v>
      </c>
      <c r="I24" s="42" t="s">
        <v>45</v>
      </c>
      <c r="J24" s="43"/>
      <c r="K24" s="42"/>
      <c r="L24" s="19">
        <v>0.9375</v>
      </c>
      <c r="M24" s="19"/>
      <c r="N24" s="22">
        <v>0.25</v>
      </c>
      <c r="O24" s="18"/>
      <c r="P24" s="16">
        <f t="shared" si="1"/>
        <v>7.5</v>
      </c>
      <c r="Q24" s="16" t="str">
        <f>IF(AND(TimeLogTable[[#This Row],[Date]]&gt;=$M$8,TimeLogTable[[#This Row],[Date]]&lt;=$M$9),"yes","no")</f>
        <v>no</v>
      </c>
    </row>
    <row r="25" spans="1:17">
      <c r="A25" s="20" t="str">
        <f>TEXT(TimeLogTable[[#This Row],[Date]], "yyyy")</f>
        <v>2021</v>
      </c>
      <c r="B25" s="20" t="str">
        <f>TEXT(TimeLogTable[[#This Row],[Date]], "mmm")</f>
        <v>Mar</v>
      </c>
      <c r="C25" s="20" t="str">
        <f>IFERROR(LOOKUP(TimeLogTable[[#This Row],[Date]],Table44[Start Date],Table44[Week Of]),"")</f>
        <v/>
      </c>
      <c r="D25" s="41" t="str">
        <f>TEXT(TimeLogTable[[#This Row],[Date]],"dddd")</f>
        <v>Tuesday</v>
      </c>
      <c r="E25" s="41" t="str">
        <f>IFERROR(LOOKUP(TimeLogTable[[#This Row],[Start
Time]],Table4[Start Time],Table4[Time of Day]),"")</f>
        <v>Early Morning</v>
      </c>
      <c r="F25" s="41" t="str">
        <f>IFERROR(INDEX(Projects[Productive],MATCH(TimeLogTable[[#This Row],[Task ID]],Projects[Task ID],0)),"")</f>
        <v>Productive Hours</v>
      </c>
      <c r="G25" s="61">
        <v>44271</v>
      </c>
      <c r="H25" s="41" t="s">
        <v>29</v>
      </c>
      <c r="I25" s="42" t="s">
        <v>28</v>
      </c>
      <c r="J25" s="43"/>
      <c r="K25" s="43" t="s">
        <v>59</v>
      </c>
      <c r="L25" s="19">
        <v>0.29166666666666669</v>
      </c>
      <c r="M25" s="19"/>
      <c r="N25" s="19">
        <v>0.32291666666666669</v>
      </c>
      <c r="O25" s="18"/>
      <c r="P25" s="16">
        <f t="shared" si="1"/>
        <v>0.75</v>
      </c>
      <c r="Q25" s="16" t="str">
        <f>IF(AND(TimeLogTable[[#This Row],[Date]]&gt;=$M$8,TimeLogTable[[#This Row],[Date]]&lt;=$M$9),"yes","no")</f>
        <v>no</v>
      </c>
    </row>
    <row r="26" spans="1:17">
      <c r="A26" s="20" t="str">
        <f>TEXT(TimeLogTable[[#This Row],[Date]], "yyyy")</f>
        <v>2021</v>
      </c>
      <c r="B26" s="20" t="str">
        <f>TEXT(TimeLogTable[[#This Row],[Date]], "mmm")</f>
        <v>Mar</v>
      </c>
      <c r="C26" s="20" t="str">
        <f>IFERROR(LOOKUP(TimeLogTable[[#This Row],[Date]],Table44[Start Date],Table44[Week Of]),"")</f>
        <v/>
      </c>
      <c r="D26" s="41" t="str">
        <f>TEXT(TimeLogTable[[#This Row],[Date]],"dddd")</f>
        <v>Tuesday</v>
      </c>
      <c r="E26" s="41" t="str">
        <f>IFERROR(LOOKUP(TimeLogTable[[#This Row],[Start
Time]],Table4[Start Time],Table4[Time of Day]),"")</f>
        <v>Early Morning</v>
      </c>
      <c r="F26" s="41" t="str">
        <f>IFERROR(INDEX(Projects[Productive],MATCH(TimeLogTable[[#This Row],[Task ID]],Projects[Task ID],0)),"")</f>
        <v>Productive Hours</v>
      </c>
      <c r="G26" s="61">
        <v>44271</v>
      </c>
      <c r="H26" s="41" t="s">
        <v>29</v>
      </c>
      <c r="I26" s="42" t="s">
        <v>32</v>
      </c>
      <c r="J26" s="43"/>
      <c r="K26" s="43" t="s">
        <v>58</v>
      </c>
      <c r="L26" s="19">
        <v>0.32291666666666669</v>
      </c>
      <c r="M26" s="19"/>
      <c r="N26" s="19">
        <v>0.33333333333333331</v>
      </c>
      <c r="O26" s="18"/>
      <c r="P26" s="16">
        <f t="shared" si="1"/>
        <v>0.25</v>
      </c>
      <c r="Q26" s="16" t="str">
        <f>IF(AND(TimeLogTable[[#This Row],[Date]]&gt;=$M$8,TimeLogTable[[#This Row],[Date]]&lt;=$M$9),"yes","no")</f>
        <v>no</v>
      </c>
    </row>
    <row r="27" spans="1:17">
      <c r="A27" s="20" t="str">
        <f>TEXT(TimeLogTable[[#This Row],[Date]], "yyyy")</f>
        <v>2021</v>
      </c>
      <c r="B27" s="20" t="str">
        <f>TEXT(TimeLogTable[[#This Row],[Date]], "mmm")</f>
        <v>Mar</v>
      </c>
      <c r="C27" s="20" t="str">
        <f>IFERROR(LOOKUP(TimeLogTable[[#This Row],[Date]],Table44[Start Date],Table44[Week Of]),"")</f>
        <v/>
      </c>
      <c r="D27" s="41" t="str">
        <f>TEXT(TimeLogTable[[#This Row],[Date]],"dddd")</f>
        <v>Tuesday</v>
      </c>
      <c r="E27" s="41" t="str">
        <f>IFERROR(LOOKUP(TimeLogTable[[#This Row],[Start
Time]],Table4[Start Time],Table4[Time of Day]),"")</f>
        <v>Early Morning</v>
      </c>
      <c r="F27" s="41" t="str">
        <f>IFERROR(INDEX(Projects[Productive],MATCH(TimeLogTable[[#This Row],[Task ID]],Projects[Task ID],0)),"")</f>
        <v>Productive Hours</v>
      </c>
      <c r="G27" s="61">
        <v>44271</v>
      </c>
      <c r="H27" s="41" t="s">
        <v>33</v>
      </c>
      <c r="I27" s="42" t="s">
        <v>78</v>
      </c>
      <c r="J27" s="43"/>
      <c r="K27" s="43" t="s">
        <v>60</v>
      </c>
      <c r="L27" s="19">
        <v>0.33333333333333331</v>
      </c>
      <c r="M27" s="19"/>
      <c r="N27" s="19">
        <v>0.34375</v>
      </c>
      <c r="O27" s="18"/>
      <c r="P27" s="16">
        <f t="shared" si="1"/>
        <v>0.25</v>
      </c>
      <c r="Q27" s="16" t="str">
        <f>IF(AND(TimeLogTable[[#This Row],[Date]]&gt;=$M$8,TimeLogTable[[#This Row],[Date]]&lt;=$M$9),"yes","no")</f>
        <v>no</v>
      </c>
    </row>
    <row r="28" spans="1:17">
      <c r="A28" s="20" t="str">
        <f>TEXT(TimeLogTable[[#This Row],[Date]], "yyyy")</f>
        <v>2021</v>
      </c>
      <c r="B28" s="20" t="str">
        <f>TEXT(TimeLogTable[[#This Row],[Date]], "mmm")</f>
        <v>Mar</v>
      </c>
      <c r="C28" s="20" t="str">
        <f>IFERROR(LOOKUP(TimeLogTable[[#This Row],[Date]],Table44[Start Date],Table44[Week Of]),"")</f>
        <v/>
      </c>
      <c r="D28" s="41" t="str">
        <f>TEXT(TimeLogTable[[#This Row],[Date]],"dddd")</f>
        <v>Tuesday</v>
      </c>
      <c r="E28" s="41" t="str">
        <f>IFERROR(LOOKUP(TimeLogTable[[#This Row],[Start
Time]],Table4[Start Time],Table4[Time of Day]),"")</f>
        <v>Early Morning</v>
      </c>
      <c r="F28" s="41" t="str">
        <f>IFERROR(INDEX(Projects[Productive],MATCH(TimeLogTable[[#This Row],[Task ID]],Projects[Task ID],0)),"")</f>
        <v>Wasted Hours</v>
      </c>
      <c r="G28" s="61">
        <v>44271</v>
      </c>
      <c r="H28" s="41" t="s">
        <v>49</v>
      </c>
      <c r="I28" s="43" t="s">
        <v>50</v>
      </c>
      <c r="J28" s="43"/>
      <c r="K28" s="43" t="s">
        <v>61</v>
      </c>
      <c r="L28" s="19">
        <v>0.34375</v>
      </c>
      <c r="M28" s="19"/>
      <c r="N28" s="19">
        <v>0.375</v>
      </c>
      <c r="O28" s="18"/>
      <c r="P28" s="16">
        <f t="shared" si="1"/>
        <v>0.75</v>
      </c>
      <c r="Q28" s="16" t="str">
        <f>IF(AND(TimeLogTable[[#This Row],[Date]]&gt;=$M$8,TimeLogTable[[#This Row],[Date]]&lt;=$M$9),"yes","no")</f>
        <v>no</v>
      </c>
    </row>
    <row r="29" spans="1:17">
      <c r="A29" s="20" t="str">
        <f>TEXT(TimeLogTable[[#This Row],[Date]], "yyyy")</f>
        <v>2021</v>
      </c>
      <c r="B29" s="20" t="str">
        <f>TEXT(TimeLogTable[[#This Row],[Date]], "mmm")</f>
        <v>Mar</v>
      </c>
      <c r="C29" s="20" t="str">
        <f>IFERROR(LOOKUP(TimeLogTable[[#This Row],[Date]],Table44[Start Date],Table44[Week Of]),"")</f>
        <v/>
      </c>
      <c r="D29" s="41" t="str">
        <f>TEXT(TimeLogTable[[#This Row],[Date]],"dddd")</f>
        <v>Tuesday</v>
      </c>
      <c r="E29" s="41" t="str">
        <f>IFERROR(LOOKUP(TimeLogTable[[#This Row],[Start
Time]],Table4[Start Time],Table4[Time of Day]),"")</f>
        <v>Morning</v>
      </c>
      <c r="F29" s="41" t="str">
        <f>IFERROR(INDEX(Projects[Productive],MATCH(TimeLogTable[[#This Row],[Task ID]],Projects[Task ID],0)),"")</f>
        <v>Productive Hours</v>
      </c>
      <c r="G29" s="61">
        <v>44271</v>
      </c>
      <c r="H29" s="41" t="s">
        <v>33</v>
      </c>
      <c r="I29" s="42" t="s">
        <v>79</v>
      </c>
      <c r="J29" s="43"/>
      <c r="K29" s="43" t="s">
        <v>62</v>
      </c>
      <c r="L29" s="19">
        <v>0.375</v>
      </c>
      <c r="M29" s="19"/>
      <c r="N29" s="19">
        <v>0.5</v>
      </c>
      <c r="O29" s="18"/>
      <c r="P29" s="16">
        <f t="shared" si="1"/>
        <v>3</v>
      </c>
      <c r="Q29" s="16" t="str">
        <f>IF(AND(TimeLogTable[[#This Row],[Date]]&gt;=$M$8,TimeLogTable[[#This Row],[Date]]&lt;=$M$9),"yes","no")</f>
        <v>no</v>
      </c>
    </row>
    <row r="30" spans="1:17">
      <c r="A30" s="20" t="str">
        <f>TEXT(TimeLogTable[[#This Row],[Date]], "yyyy")</f>
        <v>2021</v>
      </c>
      <c r="B30" s="20" t="str">
        <f>TEXT(TimeLogTable[[#This Row],[Date]], "mmm")</f>
        <v>Mar</v>
      </c>
      <c r="C30" s="20" t="str">
        <f>IFERROR(LOOKUP(TimeLogTable[[#This Row],[Date]],Table44[Start Date],Table44[Week Of]),"")</f>
        <v/>
      </c>
      <c r="D30" s="41" t="str">
        <f>TEXT(TimeLogTable[[#This Row],[Date]],"dddd")</f>
        <v>Tuesday</v>
      </c>
      <c r="E30" s="41" t="str">
        <f>IFERROR(LOOKUP(TimeLogTable[[#This Row],[Start
Time]],Table4[Start Time],Table4[Time of Day]),"")</f>
        <v>Afternoon</v>
      </c>
      <c r="F30" s="41" t="str">
        <f>IFERROR(INDEX(Projects[Productive],MATCH(TimeLogTable[[#This Row],[Task ID]],Projects[Task ID],0)),"")</f>
        <v>Wasted Hours</v>
      </c>
      <c r="G30" s="61">
        <v>44271</v>
      </c>
      <c r="H30" s="41" t="s">
        <v>38</v>
      </c>
      <c r="I30" s="42" t="s">
        <v>39</v>
      </c>
      <c r="J30" s="43"/>
      <c r="K30" s="43" t="s">
        <v>63</v>
      </c>
      <c r="L30" s="19">
        <v>0.5</v>
      </c>
      <c r="M30" s="19"/>
      <c r="N30" s="19">
        <v>0.625</v>
      </c>
      <c r="O30" s="18"/>
      <c r="P30" s="16">
        <f t="shared" si="1"/>
        <v>3</v>
      </c>
      <c r="Q30" s="16" t="str">
        <f>IF(AND(TimeLogTable[[#This Row],[Date]]&gt;=$M$8,TimeLogTable[[#This Row],[Date]]&lt;=$M$9),"yes","no")</f>
        <v>no</v>
      </c>
    </row>
    <row r="31" spans="1:17">
      <c r="A31" s="20" t="str">
        <f>TEXT(TimeLogTable[[#This Row],[Date]], "yyyy")</f>
        <v>2021</v>
      </c>
      <c r="B31" s="20" t="str">
        <f>TEXT(TimeLogTable[[#This Row],[Date]], "mmm")</f>
        <v>Mar</v>
      </c>
      <c r="C31" s="20" t="str">
        <f>IFERROR(LOOKUP(TimeLogTable[[#This Row],[Date]],Table44[Start Date],Table44[Week Of]),"")</f>
        <v/>
      </c>
      <c r="D31" s="41" t="str">
        <f>TEXT(TimeLogTable[[#This Row],[Date]],"dddd")</f>
        <v>Tuesday</v>
      </c>
      <c r="E31" s="41" t="str">
        <f>IFERROR(LOOKUP(TimeLogTable[[#This Row],[Start
Time]],Table4[Start Time],Table4[Time of Day]),"")</f>
        <v>Afternoon</v>
      </c>
      <c r="F31" s="41" t="str">
        <f>IFERROR(INDEX(Projects[Productive],MATCH(TimeLogTable[[#This Row],[Task ID]],Projects[Task ID],0)),"")</f>
        <v>Productive Hours</v>
      </c>
      <c r="G31" s="61">
        <v>44271</v>
      </c>
      <c r="H31" s="41" t="s">
        <v>33</v>
      </c>
      <c r="I31" s="43" t="s">
        <v>79</v>
      </c>
      <c r="J31" s="43"/>
      <c r="K31" s="43" t="s">
        <v>64</v>
      </c>
      <c r="L31" s="19">
        <v>0.625</v>
      </c>
      <c r="M31" s="19"/>
      <c r="N31" s="19">
        <v>0.75</v>
      </c>
      <c r="O31" s="18"/>
      <c r="P31" s="16">
        <f t="shared" si="1"/>
        <v>3</v>
      </c>
      <c r="Q31" s="16" t="str">
        <f>IF(AND(TimeLogTable[[#This Row],[Date]]&gt;=$M$8,TimeLogTable[[#This Row],[Date]]&lt;=$M$9),"yes","no")</f>
        <v>no</v>
      </c>
    </row>
    <row r="32" spans="1:17">
      <c r="A32" s="20" t="str">
        <f>TEXT(TimeLogTable[[#This Row],[Date]], "yyyy")</f>
        <v>2021</v>
      </c>
      <c r="B32" s="20" t="str">
        <f>TEXT(TimeLogTable[[#This Row],[Date]], "mmm")</f>
        <v>Mar</v>
      </c>
      <c r="C32" s="20" t="str">
        <f>IFERROR(LOOKUP(TimeLogTable[[#This Row],[Date]],Table44[Start Date],Table44[Week Of]),"")</f>
        <v/>
      </c>
      <c r="D32" s="41" t="str">
        <f>TEXT(TimeLogTable[[#This Row],[Date]],"dddd")</f>
        <v>Tuesday</v>
      </c>
      <c r="E32" s="41" t="str">
        <f>IFERROR(LOOKUP(TimeLogTable[[#This Row],[Start
Time]],Table4[Start Time],Table4[Time of Day]),"")</f>
        <v>Evening</v>
      </c>
      <c r="F32" s="41" t="str">
        <f>IFERROR(INDEX(Projects[Productive],MATCH(TimeLogTable[[#This Row],[Task ID]],Projects[Task ID],0)),"")</f>
        <v>Wasted Hours</v>
      </c>
      <c r="G32" s="61">
        <v>44271</v>
      </c>
      <c r="H32" s="41" t="s">
        <v>49</v>
      </c>
      <c r="I32" s="42" t="s">
        <v>50</v>
      </c>
      <c r="J32" s="43"/>
      <c r="K32" s="43" t="s">
        <v>65</v>
      </c>
      <c r="L32" s="19">
        <v>0.75</v>
      </c>
      <c r="M32" s="19"/>
      <c r="N32" s="19">
        <v>0.79166666666666663</v>
      </c>
      <c r="O32" s="18"/>
      <c r="P32" s="16">
        <f t="shared" si="1"/>
        <v>1</v>
      </c>
      <c r="Q32" s="16" t="str">
        <f>IF(AND(TimeLogTable[[#This Row],[Date]]&gt;=$M$8,TimeLogTable[[#This Row],[Date]]&lt;=$M$9),"yes","no")</f>
        <v>no</v>
      </c>
    </row>
    <row r="33" spans="1:17">
      <c r="A33" s="20" t="str">
        <f>TEXT(TimeLogTable[[#This Row],[Date]], "yyyy")</f>
        <v>2021</v>
      </c>
      <c r="B33" s="20" t="str">
        <f>TEXT(TimeLogTable[[#This Row],[Date]], "mmm")</f>
        <v>Mar</v>
      </c>
      <c r="C33" s="20" t="str">
        <f>IFERROR(LOOKUP(TimeLogTable[[#This Row],[Date]],Table44[Start Date],Table44[Week Of]),"")</f>
        <v/>
      </c>
      <c r="D33" s="41" t="str">
        <f>TEXT(TimeLogTable[[#This Row],[Date]],"dddd")</f>
        <v>Tuesday</v>
      </c>
      <c r="E33" s="41" t="str">
        <f>IFERROR(LOOKUP(TimeLogTable[[#This Row],[Start
Time]],Table4[Start Time],Table4[Time of Day]),"")</f>
        <v>Evening</v>
      </c>
      <c r="F33" s="41" t="str">
        <f>IFERROR(INDEX(Projects[Productive],MATCH(TimeLogTable[[#This Row],[Task ID]],Projects[Task ID],0)),"")</f>
        <v>Wasted Hours</v>
      </c>
      <c r="G33" s="61">
        <v>44271</v>
      </c>
      <c r="H33" s="41" t="s">
        <v>26</v>
      </c>
      <c r="I33" s="42" t="s">
        <v>56</v>
      </c>
      <c r="J33" s="43"/>
      <c r="K33" s="43" t="s">
        <v>57</v>
      </c>
      <c r="L33" s="19">
        <v>0.79166666666666663</v>
      </c>
      <c r="M33" s="19"/>
      <c r="N33" s="19">
        <v>0.875</v>
      </c>
      <c r="O33" s="18"/>
      <c r="P33" s="16">
        <f t="shared" si="1"/>
        <v>2</v>
      </c>
      <c r="Q33" s="16" t="str">
        <f>IF(AND(TimeLogTable[[#This Row],[Date]]&gt;=$M$8,TimeLogTable[[#This Row],[Date]]&lt;=$M$9),"yes","no")</f>
        <v>no</v>
      </c>
    </row>
    <row r="34" spans="1:17">
      <c r="A34" s="20" t="str">
        <f>TEXT(TimeLogTable[[#This Row],[Date]], "yyyy")</f>
        <v>2021</v>
      </c>
      <c r="B34" s="20" t="str">
        <f>TEXT(TimeLogTable[[#This Row],[Date]], "mmm")</f>
        <v>Mar</v>
      </c>
      <c r="C34" s="20" t="str">
        <f>IFERROR(LOOKUP(TimeLogTable[[#This Row],[Date]],Table44[Start Date],Table44[Week Of]),"")</f>
        <v/>
      </c>
      <c r="D34" s="41" t="str">
        <f>TEXT(TimeLogTable[[#This Row],[Date]],"dddd")</f>
        <v>Wednesday</v>
      </c>
      <c r="E34" s="41" t="str">
        <f>IFERROR(LOOKUP(TimeLogTable[[#This Row],[Start
Time]],Table4[Start Time],Table4[Time of Day]),"")</f>
        <v>Late Evening</v>
      </c>
      <c r="F34" s="41" t="str">
        <f>IFERROR(INDEX(Projects[Productive],MATCH(TimeLogTable[[#This Row],[Task ID]],Projects[Task ID],0)),"")</f>
        <v>Productive Hours</v>
      </c>
      <c r="G34" s="61">
        <v>44272</v>
      </c>
      <c r="H34" s="41" t="s">
        <v>107</v>
      </c>
      <c r="I34" s="42" t="s">
        <v>45</v>
      </c>
      <c r="J34" s="43"/>
      <c r="K34" s="42"/>
      <c r="L34" s="19">
        <v>0.9375</v>
      </c>
      <c r="M34" s="19"/>
      <c r="N34" s="22">
        <v>0.25</v>
      </c>
      <c r="O34" s="18"/>
      <c r="P34" s="16">
        <f t="shared" si="1"/>
        <v>7.5</v>
      </c>
      <c r="Q34" s="16" t="str">
        <f>IF(AND(TimeLogTable[[#This Row],[Date]]&gt;=$M$8,TimeLogTable[[#This Row],[Date]]&lt;=$M$9),"yes","no")</f>
        <v>no</v>
      </c>
    </row>
    <row r="35" spans="1:17">
      <c r="A35" s="20" t="str">
        <f>TEXT(TimeLogTable[[#This Row],[Date]], "yyyy")</f>
        <v>2021</v>
      </c>
      <c r="B35" s="20" t="str">
        <f>TEXT(TimeLogTable[[#This Row],[Date]], "mmm")</f>
        <v>Mar</v>
      </c>
      <c r="C35" s="20" t="str">
        <f>IFERROR(LOOKUP(TimeLogTable[[#This Row],[Date]],Table44[Start Date],Table44[Week Of]),"")</f>
        <v/>
      </c>
      <c r="D35" s="41" t="str">
        <f>TEXT(TimeLogTable[[#This Row],[Date]],"dddd")</f>
        <v>Wednesday</v>
      </c>
      <c r="E35" s="41" t="str">
        <f>IFERROR(LOOKUP(TimeLogTable[[#This Row],[Start
Time]],Table4[Start Time],Table4[Time of Day]),"")</f>
        <v>Early Morning</v>
      </c>
      <c r="F35" s="41" t="str">
        <f>IFERROR(INDEX(Projects[Productive],MATCH(TimeLogTable[[#This Row],[Task ID]],Projects[Task ID],0)),"")</f>
        <v>Productive Hours</v>
      </c>
      <c r="G35" s="61">
        <v>44272</v>
      </c>
      <c r="H35" s="41" t="s">
        <v>29</v>
      </c>
      <c r="I35" s="42" t="s">
        <v>28</v>
      </c>
      <c r="J35" s="43"/>
      <c r="K35" s="43" t="s">
        <v>59</v>
      </c>
      <c r="L35" s="19">
        <v>0.29166666666666669</v>
      </c>
      <c r="M35" s="19"/>
      <c r="N35" s="19">
        <v>0.32291666666666669</v>
      </c>
      <c r="O35" s="18"/>
      <c r="P35" s="16">
        <f t="shared" si="1"/>
        <v>0.75</v>
      </c>
      <c r="Q35" s="16" t="str">
        <f>IF(AND(TimeLogTable[[#This Row],[Date]]&gt;=$M$8,TimeLogTable[[#This Row],[Date]]&lt;=$M$9),"yes","no")</f>
        <v>no</v>
      </c>
    </row>
    <row r="36" spans="1:17">
      <c r="A36" s="20" t="str">
        <f>TEXT(TimeLogTable[[#This Row],[Date]], "yyyy")</f>
        <v>2021</v>
      </c>
      <c r="B36" s="20" t="str">
        <f>TEXT(TimeLogTable[[#This Row],[Date]], "mmm")</f>
        <v>Mar</v>
      </c>
      <c r="C36" s="20" t="str">
        <f>IFERROR(LOOKUP(TimeLogTable[[#This Row],[Date]],Table44[Start Date],Table44[Week Of]),"")</f>
        <v/>
      </c>
      <c r="D36" s="41" t="str">
        <f>TEXT(TimeLogTable[[#This Row],[Date]],"dddd")</f>
        <v>Wednesday</v>
      </c>
      <c r="E36" s="41" t="str">
        <f>IFERROR(LOOKUP(TimeLogTable[[#This Row],[Start
Time]],Table4[Start Time],Table4[Time of Day]),"")</f>
        <v>Early Morning</v>
      </c>
      <c r="F36" s="41" t="str">
        <f>IFERROR(INDEX(Projects[Productive],MATCH(TimeLogTable[[#This Row],[Task ID]],Projects[Task ID],0)),"")</f>
        <v>Productive Hours</v>
      </c>
      <c r="G36" s="61">
        <v>44272</v>
      </c>
      <c r="H36" s="41" t="s">
        <v>29</v>
      </c>
      <c r="I36" s="42" t="s">
        <v>32</v>
      </c>
      <c r="J36" s="43"/>
      <c r="K36" s="43" t="s">
        <v>58</v>
      </c>
      <c r="L36" s="19">
        <v>0.32291666666666669</v>
      </c>
      <c r="M36" s="19"/>
      <c r="N36" s="19">
        <v>0.33333333333333331</v>
      </c>
      <c r="O36" s="18"/>
      <c r="P36" s="16">
        <f t="shared" si="1"/>
        <v>0.25</v>
      </c>
      <c r="Q36" s="16" t="str">
        <f>IF(AND(TimeLogTable[[#This Row],[Date]]&gt;=$M$8,TimeLogTable[[#This Row],[Date]]&lt;=$M$9),"yes","no")</f>
        <v>no</v>
      </c>
    </row>
    <row r="37" spans="1:17">
      <c r="A37" s="20" t="str">
        <f>TEXT(TimeLogTable[[#This Row],[Date]], "yyyy")</f>
        <v>2021</v>
      </c>
      <c r="B37" s="20" t="str">
        <f>TEXT(TimeLogTable[[#This Row],[Date]], "mmm")</f>
        <v>Mar</v>
      </c>
      <c r="C37" s="20" t="str">
        <f>IFERROR(LOOKUP(TimeLogTable[[#This Row],[Date]],Table44[Start Date],Table44[Week Of]),"")</f>
        <v/>
      </c>
      <c r="D37" s="41" t="str">
        <f>TEXT(TimeLogTable[[#This Row],[Date]],"dddd")</f>
        <v>Wednesday</v>
      </c>
      <c r="E37" s="41" t="str">
        <f>IFERROR(LOOKUP(TimeLogTable[[#This Row],[Start
Time]],Table4[Start Time],Table4[Time of Day]),"")</f>
        <v>Early Morning</v>
      </c>
      <c r="F37" s="41" t="str">
        <f>IFERROR(INDEX(Projects[Productive],MATCH(TimeLogTable[[#This Row],[Task ID]],Projects[Task ID],0)),"")</f>
        <v>Productive Hours</v>
      </c>
      <c r="G37" s="61">
        <v>44272</v>
      </c>
      <c r="H37" s="41" t="s">
        <v>33</v>
      </c>
      <c r="I37" s="42" t="s">
        <v>78</v>
      </c>
      <c r="J37" s="43"/>
      <c r="K37" s="43" t="s">
        <v>60</v>
      </c>
      <c r="L37" s="19">
        <v>0.33333333333333331</v>
      </c>
      <c r="M37" s="19"/>
      <c r="N37" s="19">
        <v>0.34375</v>
      </c>
      <c r="O37" s="18"/>
      <c r="P37" s="16">
        <f t="shared" si="1"/>
        <v>0.25</v>
      </c>
      <c r="Q37" s="16" t="str">
        <f>IF(AND(TimeLogTable[[#This Row],[Date]]&gt;=$M$8,TimeLogTable[[#This Row],[Date]]&lt;=$M$9),"yes","no")</f>
        <v>no</v>
      </c>
    </row>
    <row r="38" spans="1:17">
      <c r="A38" s="20" t="str">
        <f>TEXT(TimeLogTable[[#This Row],[Date]], "yyyy")</f>
        <v>2021</v>
      </c>
      <c r="B38" s="20" t="str">
        <f>TEXT(TimeLogTable[[#This Row],[Date]], "mmm")</f>
        <v>Mar</v>
      </c>
      <c r="C38" s="20" t="str">
        <f>IFERROR(LOOKUP(TimeLogTable[[#This Row],[Date]],Table44[Start Date],Table44[Week Of]),"")</f>
        <v/>
      </c>
      <c r="D38" s="41" t="str">
        <f>TEXT(TimeLogTable[[#This Row],[Date]],"dddd")</f>
        <v>Wednesday</v>
      </c>
      <c r="E38" s="41" t="str">
        <f>IFERROR(LOOKUP(TimeLogTable[[#This Row],[Start
Time]],Table4[Start Time],Table4[Time of Day]),"")</f>
        <v>Early Morning</v>
      </c>
      <c r="F38" s="41" t="str">
        <f>IFERROR(INDEX(Projects[Productive],MATCH(TimeLogTable[[#This Row],[Task ID]],Projects[Task ID],0)),"")</f>
        <v>Wasted Hours</v>
      </c>
      <c r="G38" s="61">
        <v>44272</v>
      </c>
      <c r="H38" s="41" t="s">
        <v>49</v>
      </c>
      <c r="I38" s="42" t="s">
        <v>50</v>
      </c>
      <c r="J38" s="43"/>
      <c r="K38" s="43" t="s">
        <v>61</v>
      </c>
      <c r="L38" s="19">
        <v>0.34375</v>
      </c>
      <c r="M38" s="19"/>
      <c r="N38" s="19">
        <v>0.375</v>
      </c>
      <c r="O38" s="18"/>
      <c r="P38" s="16">
        <f t="shared" si="1"/>
        <v>0.75</v>
      </c>
      <c r="Q38" s="16" t="str">
        <f>IF(AND(TimeLogTable[[#This Row],[Date]]&gt;=$M$8,TimeLogTable[[#This Row],[Date]]&lt;=$M$9),"yes","no")</f>
        <v>no</v>
      </c>
    </row>
    <row r="39" spans="1:17">
      <c r="A39" s="20" t="str">
        <f>TEXT(TimeLogTable[[#This Row],[Date]], "yyyy")</f>
        <v>2021</v>
      </c>
      <c r="B39" s="20" t="str">
        <f>TEXT(TimeLogTable[[#This Row],[Date]], "mmm")</f>
        <v>Mar</v>
      </c>
      <c r="C39" s="20" t="str">
        <f>IFERROR(LOOKUP(TimeLogTable[[#This Row],[Date]],Table44[Start Date],Table44[Week Of]),"")</f>
        <v/>
      </c>
      <c r="D39" s="41" t="str">
        <f>TEXT(TimeLogTable[[#This Row],[Date]],"dddd")</f>
        <v>Wednesday</v>
      </c>
      <c r="E39" s="41" t="str">
        <f>IFERROR(LOOKUP(TimeLogTable[[#This Row],[Start
Time]],Table4[Start Time],Table4[Time of Day]),"")</f>
        <v>Morning</v>
      </c>
      <c r="F39" s="41" t="str">
        <f>IFERROR(INDEX(Projects[Productive],MATCH(TimeLogTable[[#This Row],[Task ID]],Projects[Task ID],0)),"")</f>
        <v>Productive Hours</v>
      </c>
      <c r="G39" s="61">
        <v>44272</v>
      </c>
      <c r="H39" s="41" t="s">
        <v>33</v>
      </c>
      <c r="I39" s="42" t="s">
        <v>79</v>
      </c>
      <c r="J39" s="43"/>
      <c r="K39" s="43" t="s">
        <v>62</v>
      </c>
      <c r="L39" s="19">
        <v>0.375</v>
      </c>
      <c r="M39" s="19"/>
      <c r="N39" s="19">
        <v>0.5</v>
      </c>
      <c r="O39" s="18"/>
      <c r="P39" s="16">
        <f t="shared" si="1"/>
        <v>3</v>
      </c>
      <c r="Q39" s="16" t="str">
        <f>IF(AND(TimeLogTable[[#This Row],[Date]]&gt;=$M$8,TimeLogTable[[#This Row],[Date]]&lt;=$M$9),"yes","no")</f>
        <v>no</v>
      </c>
    </row>
    <row r="40" spans="1:17">
      <c r="A40" s="20" t="str">
        <f>TEXT(TimeLogTable[[#This Row],[Date]], "yyyy")</f>
        <v>2021</v>
      </c>
      <c r="B40" s="20" t="str">
        <f>TEXT(TimeLogTable[[#This Row],[Date]], "mmm")</f>
        <v>Mar</v>
      </c>
      <c r="C40" s="20" t="str">
        <f>IFERROR(LOOKUP(TimeLogTable[[#This Row],[Date]],Table44[Start Date],Table44[Week Of]),"")</f>
        <v/>
      </c>
      <c r="D40" s="41" t="str">
        <f>TEXT(TimeLogTable[[#This Row],[Date]],"dddd")</f>
        <v>Wednesday</v>
      </c>
      <c r="E40" s="41" t="str">
        <f>IFERROR(LOOKUP(TimeLogTable[[#This Row],[Start
Time]],Table4[Start Time],Table4[Time of Day]),"")</f>
        <v>Afternoon</v>
      </c>
      <c r="F40" s="41" t="str">
        <f>IFERROR(INDEX(Projects[Productive],MATCH(TimeLogTable[[#This Row],[Task ID]],Projects[Task ID],0)),"")</f>
        <v>Wasted Hours</v>
      </c>
      <c r="G40" s="61">
        <v>44272</v>
      </c>
      <c r="H40" s="41" t="s">
        <v>38</v>
      </c>
      <c r="I40" s="42" t="s">
        <v>39</v>
      </c>
      <c r="J40" s="43"/>
      <c r="K40" s="43" t="s">
        <v>63</v>
      </c>
      <c r="L40" s="19">
        <v>0.5</v>
      </c>
      <c r="M40" s="19"/>
      <c r="N40" s="19">
        <v>0.625</v>
      </c>
      <c r="O40" s="18"/>
      <c r="P40" s="16">
        <f t="shared" si="1"/>
        <v>3</v>
      </c>
      <c r="Q40" s="16" t="str">
        <f>IF(AND(TimeLogTable[[#This Row],[Date]]&gt;=$M$8,TimeLogTable[[#This Row],[Date]]&lt;=$M$9),"yes","no")</f>
        <v>no</v>
      </c>
    </row>
    <row r="41" spans="1:17">
      <c r="A41" s="20" t="str">
        <f>TEXT(TimeLogTable[[#This Row],[Date]], "yyyy")</f>
        <v>2021</v>
      </c>
      <c r="B41" s="20" t="str">
        <f>TEXT(TimeLogTable[[#This Row],[Date]], "mmm")</f>
        <v>Mar</v>
      </c>
      <c r="C41" s="20" t="str">
        <f>IFERROR(LOOKUP(TimeLogTable[[#This Row],[Date]],Table44[Start Date],Table44[Week Of]),"")</f>
        <v/>
      </c>
      <c r="D41" s="41" t="str">
        <f>TEXT(TimeLogTable[[#This Row],[Date]],"dddd")</f>
        <v>Wednesday</v>
      </c>
      <c r="E41" s="41" t="str">
        <f>IFERROR(LOOKUP(TimeLogTable[[#This Row],[Start
Time]],Table4[Start Time],Table4[Time of Day]),"")</f>
        <v>Afternoon</v>
      </c>
      <c r="F41" s="41" t="str">
        <f>IFERROR(INDEX(Projects[Productive],MATCH(TimeLogTable[[#This Row],[Task ID]],Projects[Task ID],0)),"")</f>
        <v>Productive Hours</v>
      </c>
      <c r="G41" s="61">
        <v>44272</v>
      </c>
      <c r="H41" s="41" t="s">
        <v>33</v>
      </c>
      <c r="I41" s="42" t="s">
        <v>79</v>
      </c>
      <c r="J41" s="43"/>
      <c r="K41" s="43" t="s">
        <v>64</v>
      </c>
      <c r="L41" s="19">
        <v>0.625</v>
      </c>
      <c r="M41" s="19"/>
      <c r="N41" s="19">
        <v>0.75</v>
      </c>
      <c r="O41" s="18"/>
      <c r="P41" s="16">
        <f t="shared" si="1"/>
        <v>3</v>
      </c>
      <c r="Q41" s="16" t="str">
        <f>IF(AND(TimeLogTable[[#This Row],[Date]]&gt;=$M$8,TimeLogTable[[#This Row],[Date]]&lt;=$M$9),"yes","no")</f>
        <v>no</v>
      </c>
    </row>
    <row r="42" spans="1:17">
      <c r="A42" s="20" t="str">
        <f>TEXT(TimeLogTable[[#This Row],[Date]], "yyyy")</f>
        <v>2021</v>
      </c>
      <c r="B42" s="20" t="str">
        <f>TEXT(TimeLogTable[[#This Row],[Date]], "mmm")</f>
        <v>Mar</v>
      </c>
      <c r="C42" s="20" t="str">
        <f>IFERROR(LOOKUP(TimeLogTable[[#This Row],[Date]],Table44[Start Date],Table44[Week Of]),"")</f>
        <v/>
      </c>
      <c r="D42" s="41" t="str">
        <f>TEXT(TimeLogTable[[#This Row],[Date]],"dddd")</f>
        <v>Wednesday</v>
      </c>
      <c r="E42" s="41" t="str">
        <f>IFERROR(LOOKUP(TimeLogTable[[#This Row],[Start
Time]],Table4[Start Time],Table4[Time of Day]),"")</f>
        <v>Evening</v>
      </c>
      <c r="F42" s="41" t="str">
        <f>IFERROR(INDEX(Projects[Productive],MATCH(TimeLogTable[[#This Row],[Task ID]],Projects[Task ID],0)),"")</f>
        <v>Wasted Hours</v>
      </c>
      <c r="G42" s="61">
        <v>44272</v>
      </c>
      <c r="H42" s="41" t="s">
        <v>49</v>
      </c>
      <c r="I42" s="42" t="s">
        <v>50</v>
      </c>
      <c r="J42" s="43"/>
      <c r="K42" s="43" t="s">
        <v>65</v>
      </c>
      <c r="L42" s="19">
        <v>0.75</v>
      </c>
      <c r="M42" s="19"/>
      <c r="N42" s="19">
        <v>0.79166666666666663</v>
      </c>
      <c r="O42" s="18"/>
      <c r="P42" s="16">
        <f t="shared" si="1"/>
        <v>1</v>
      </c>
      <c r="Q42" s="16" t="str">
        <f>IF(AND(TimeLogTable[[#This Row],[Date]]&gt;=$M$8,TimeLogTable[[#This Row],[Date]]&lt;=$M$9),"yes","no")</f>
        <v>no</v>
      </c>
    </row>
    <row r="43" spans="1:17">
      <c r="A43" s="20" t="str">
        <f>TEXT(TimeLogTable[[#This Row],[Date]], "yyyy")</f>
        <v>2021</v>
      </c>
      <c r="B43" s="20" t="str">
        <f>TEXT(TimeLogTable[[#This Row],[Date]], "mmm")</f>
        <v>Mar</v>
      </c>
      <c r="C43" s="20" t="str">
        <f>IFERROR(LOOKUP(TimeLogTable[[#This Row],[Date]],Table44[Start Date],Table44[Week Of]),"")</f>
        <v/>
      </c>
      <c r="D43" s="41" t="str">
        <f>TEXT(TimeLogTable[[#This Row],[Date]],"dddd")</f>
        <v>Wednesday</v>
      </c>
      <c r="E43" s="41" t="str">
        <f>IFERROR(LOOKUP(TimeLogTable[[#This Row],[Start
Time]],Table4[Start Time],Table4[Time of Day]),"")</f>
        <v>Evening</v>
      </c>
      <c r="F43" s="41" t="str">
        <f>IFERROR(INDEX(Projects[Productive],MATCH(TimeLogTable[[#This Row],[Task ID]],Projects[Task ID],0)),"")</f>
        <v>Wasted Hours</v>
      </c>
      <c r="G43" s="61">
        <v>44272</v>
      </c>
      <c r="H43" s="41" t="s">
        <v>26</v>
      </c>
      <c r="I43" s="42" t="s">
        <v>56</v>
      </c>
      <c r="J43" s="43"/>
      <c r="K43" s="43" t="s">
        <v>57</v>
      </c>
      <c r="L43" s="19">
        <v>0.79166666666666663</v>
      </c>
      <c r="M43" s="19"/>
      <c r="N43" s="19">
        <v>0.875</v>
      </c>
      <c r="O43" s="18"/>
      <c r="P43" s="16">
        <f t="shared" si="1"/>
        <v>2</v>
      </c>
      <c r="Q43" s="16" t="str">
        <f>IF(AND(TimeLogTable[[#This Row],[Date]]&gt;=$M$8,TimeLogTable[[#This Row],[Date]]&lt;=$M$9),"yes","no")</f>
        <v>no</v>
      </c>
    </row>
    <row r="44" spans="1:17">
      <c r="A44" s="20" t="str">
        <f>TEXT(TimeLogTable[[#This Row],[Date]], "yyyy")</f>
        <v>2021</v>
      </c>
      <c r="B44" s="20" t="str">
        <f>TEXT(TimeLogTable[[#This Row],[Date]], "mmm")</f>
        <v>Mar</v>
      </c>
      <c r="C44" s="20" t="str">
        <f>IFERROR(LOOKUP(TimeLogTable[[#This Row],[Date]],Table44[Start Date],Table44[Week Of]),"")</f>
        <v/>
      </c>
      <c r="D44" s="41" t="str">
        <f>TEXT(TimeLogTable[[#This Row],[Date]],"dddd")</f>
        <v>Saturday</v>
      </c>
      <c r="E44" s="41" t="str">
        <f>IFERROR(LOOKUP(TimeLogTable[[#This Row],[Start
Time]],Table4[Start Time],Table4[Time of Day]),"")</f>
        <v>Afternoon</v>
      </c>
      <c r="F44" s="41" t="str">
        <f>IFERROR(INDEX(Projects[Productive],MATCH(TimeLogTable[[#This Row],[Task ID]],Projects[Task ID],0)),"")</f>
        <v>Wasted Hours</v>
      </c>
      <c r="G44" s="61">
        <v>44275</v>
      </c>
      <c r="H44" s="41" t="s">
        <v>49</v>
      </c>
      <c r="I44" s="42" t="s">
        <v>50</v>
      </c>
      <c r="J44" s="43"/>
      <c r="K44" s="43" t="s">
        <v>52</v>
      </c>
      <c r="L44" s="19">
        <v>0.70416666666666661</v>
      </c>
      <c r="M44" s="19"/>
      <c r="N44" s="19">
        <v>0.72499999999999998</v>
      </c>
      <c r="O44" s="18"/>
      <c r="P44" s="16">
        <f t="shared" si="1"/>
        <v>0.5</v>
      </c>
      <c r="Q44" s="16" t="str">
        <f>IF(AND(TimeLogTable[[#This Row],[Date]]&gt;=$M$8,TimeLogTable[[#This Row],[Date]]&lt;=$M$9),"yes","no")</f>
        <v>no</v>
      </c>
    </row>
    <row r="45" spans="1:17">
      <c r="A45" s="20" t="str">
        <f>TEXT(TimeLogTable[[#This Row],[Date]], "yyyy")</f>
        <v>2021</v>
      </c>
      <c r="B45" s="20" t="str">
        <f>TEXT(TimeLogTable[[#This Row],[Date]], "mmm")</f>
        <v>Mar</v>
      </c>
      <c r="C45" s="20" t="str">
        <f>IFERROR(LOOKUP(TimeLogTable[[#This Row],[Date]],Table44[Start Date],Table44[Week Of]),"")</f>
        <v/>
      </c>
      <c r="D45" s="41" t="str">
        <f>TEXT(TimeLogTable[[#This Row],[Date]],"dddd")</f>
        <v>Saturday</v>
      </c>
      <c r="E45" s="41" t="str">
        <f>IFERROR(LOOKUP(TimeLogTable[[#This Row],[Start
Time]],Table4[Start Time],Table4[Time of Day]),"")</f>
        <v>Afternoon</v>
      </c>
      <c r="F45" s="41" t="str">
        <f>IFERROR(INDEX(Projects[Productive],MATCH(TimeLogTable[[#This Row],[Task ID]],Projects[Task ID],0)),"")</f>
        <v>Productive Hours</v>
      </c>
      <c r="G45" s="61">
        <v>44275</v>
      </c>
      <c r="H45" s="41" t="s">
        <v>33</v>
      </c>
      <c r="I45" s="42" t="s">
        <v>78</v>
      </c>
      <c r="J45" s="43"/>
      <c r="K45" s="43" t="s">
        <v>53</v>
      </c>
      <c r="L45" s="19">
        <v>0.72499999999999998</v>
      </c>
      <c r="M45" s="19"/>
      <c r="N45" s="39">
        <v>0.91666666666666663</v>
      </c>
      <c r="O45" s="18"/>
      <c r="P45" s="16">
        <f t="shared" si="1"/>
        <v>4.5999999999999996</v>
      </c>
      <c r="Q45" s="16" t="str">
        <f>IF(AND(TimeLogTable[[#This Row],[Date]]&gt;=$M$8,TimeLogTable[[#This Row],[Date]]&lt;=$M$9),"yes","no")</f>
        <v>no</v>
      </c>
    </row>
    <row r="46" spans="1:17">
      <c r="A46" s="20" t="str">
        <f>TEXT(TimeLogTable[[#This Row],[Date]], "yyyy")</f>
        <v>2021</v>
      </c>
      <c r="B46" s="20" t="str">
        <f>TEXT(TimeLogTable[[#This Row],[Date]], "mmm")</f>
        <v>Mar</v>
      </c>
      <c r="C46" s="20" t="str">
        <f>IFERROR(LOOKUP(TimeLogTable[[#This Row],[Date]],Table44[Start Date],Table44[Week Of]),"")</f>
        <v/>
      </c>
      <c r="D46" s="41" t="str">
        <f>TEXT(TimeLogTable[[#This Row],[Date]],"dddd")</f>
        <v>Saturday</v>
      </c>
      <c r="E46" s="41" t="str">
        <f>IFERROR(LOOKUP(TimeLogTable[[#This Row],[Start
Time]],Table4[Start Time],Table4[Time of Day]),"")</f>
        <v>Late Evening</v>
      </c>
      <c r="F46" s="41" t="str">
        <f>IFERROR(INDEX(Projects[Productive],MATCH(TimeLogTable[[#This Row],[Task ID]],Projects[Task ID],0)),"")</f>
        <v>Wasted Hours</v>
      </c>
      <c r="G46" s="61">
        <v>44275</v>
      </c>
      <c r="H46" s="41" t="s">
        <v>49</v>
      </c>
      <c r="I46" s="42" t="s">
        <v>50</v>
      </c>
      <c r="J46" s="43"/>
      <c r="K46" s="43" t="s">
        <v>54</v>
      </c>
      <c r="L46" s="39">
        <v>0.91666666666666663</v>
      </c>
      <c r="M46" s="19"/>
      <c r="N46" s="19">
        <v>0.9375</v>
      </c>
      <c r="O46" s="18"/>
      <c r="P46" s="16">
        <f t="shared" ref="P46:P77" si="2">O46/60+ROUND(IF((OR(L46="",N46="")),0,IF((N46&lt;L46),((N46-L46)*24)+24,(N46-L46)*24)-M46/60),2)</f>
        <v>0.5</v>
      </c>
      <c r="Q46" s="16" t="str">
        <f>IF(AND(TimeLogTable[[#This Row],[Date]]&gt;=$M$8,TimeLogTable[[#This Row],[Date]]&lt;=$M$9),"yes","no")</f>
        <v>no</v>
      </c>
    </row>
    <row r="47" spans="1:17">
      <c r="A47" s="20" t="str">
        <f>TEXT(TimeLogTable[[#This Row],[Date]], "yyyy")</f>
        <v>2021</v>
      </c>
      <c r="B47" s="20" t="str">
        <f>TEXT(TimeLogTable[[#This Row],[Date]], "mmm")</f>
        <v>Mar</v>
      </c>
      <c r="C47" s="20" t="str">
        <f>IFERROR(LOOKUP(TimeLogTable[[#This Row],[Date]],Table44[Start Date],Table44[Week Of]),"")</f>
        <v/>
      </c>
      <c r="D47" s="41" t="str">
        <f>TEXT(TimeLogTable[[#This Row],[Date]],"dddd")</f>
        <v>Saturday</v>
      </c>
      <c r="E47" s="41" t="str">
        <f>IFERROR(LOOKUP(TimeLogTable[[#This Row],[Start
Time]],Table4[Start Time],Table4[Time of Day]),"")</f>
        <v>Late Evening</v>
      </c>
      <c r="F47" s="41" t="str">
        <f>IFERROR(INDEX(Projects[Productive],MATCH(TimeLogTable[[#This Row],[Task ID]],Projects[Task ID],0)),"")</f>
        <v>Productive Hours</v>
      </c>
      <c r="G47" s="61">
        <v>44275</v>
      </c>
      <c r="H47" s="41" t="s">
        <v>107</v>
      </c>
      <c r="I47" s="42" t="s">
        <v>45</v>
      </c>
      <c r="J47" s="43"/>
      <c r="K47" s="42"/>
      <c r="L47" s="19">
        <v>0.9375</v>
      </c>
      <c r="M47" s="19"/>
      <c r="N47" s="22">
        <v>0.25</v>
      </c>
      <c r="O47" s="18"/>
      <c r="P47" s="16">
        <f t="shared" si="2"/>
        <v>7.5</v>
      </c>
      <c r="Q47" s="16" t="str">
        <f>IF(AND(TimeLogTable[[#This Row],[Date]]&gt;=$M$8,TimeLogTable[[#This Row],[Date]]&lt;=$M$9),"yes","no")</f>
        <v>no</v>
      </c>
    </row>
    <row r="48" spans="1:17">
      <c r="A48" s="20" t="str">
        <f>TEXT(TimeLogTable[[#This Row],[Date]], "yyyy")</f>
        <v>2021</v>
      </c>
      <c r="B48" s="20" t="str">
        <f>TEXT(TimeLogTable[[#This Row],[Date]], "mmm")</f>
        <v>Mar</v>
      </c>
      <c r="C48" s="20" t="str">
        <f>IFERROR(LOOKUP(TimeLogTable[[#This Row],[Date]],Table44[Start Date],Table44[Week Of]),"")</f>
        <v/>
      </c>
      <c r="D48" s="41" t="str">
        <f>TEXT(TimeLogTable[[#This Row],[Date]],"dddd")</f>
        <v>Thursday</v>
      </c>
      <c r="E48" s="41" t="str">
        <f>IFERROR(LOOKUP(TimeLogTable[[#This Row],[Start
Time]],Table4[Start Time],Table4[Time of Day]),"")</f>
        <v>Early Morning</v>
      </c>
      <c r="F48" s="41" t="str">
        <f>IFERROR(INDEX(Projects[Productive],MATCH(TimeLogTable[[#This Row],[Task ID]],Projects[Task ID],0)),"")</f>
        <v>Productive Hours</v>
      </c>
      <c r="G48" s="61">
        <v>44273</v>
      </c>
      <c r="H48" s="41" t="s">
        <v>29</v>
      </c>
      <c r="I48" s="42" t="s">
        <v>28</v>
      </c>
      <c r="J48" s="43"/>
      <c r="K48" s="43" t="s">
        <v>59</v>
      </c>
      <c r="L48" s="19">
        <v>0.29166666666666669</v>
      </c>
      <c r="M48" s="19"/>
      <c r="N48" s="19">
        <v>0.32291666666666669</v>
      </c>
      <c r="O48" s="18"/>
      <c r="P48" s="16">
        <f t="shared" si="2"/>
        <v>0.75</v>
      </c>
      <c r="Q48" s="16" t="str">
        <f>IF(AND(TimeLogTable[[#This Row],[Date]]&gt;=$M$8,TimeLogTable[[#This Row],[Date]]&lt;=$M$9),"yes","no")</f>
        <v>no</v>
      </c>
    </row>
    <row r="49" spans="1:17" ht="18" customHeight="1">
      <c r="A49" s="20" t="str">
        <f>TEXT(TimeLogTable[[#This Row],[Date]], "yyyy")</f>
        <v>2021</v>
      </c>
      <c r="B49" s="20" t="str">
        <f>TEXT(TimeLogTable[[#This Row],[Date]], "mmm")</f>
        <v>Mar</v>
      </c>
      <c r="C49" s="20" t="str">
        <f>IFERROR(LOOKUP(TimeLogTable[[#This Row],[Date]],Table44[Start Date],Table44[Week Of]),"")</f>
        <v/>
      </c>
      <c r="D49" s="41" t="str">
        <f>TEXT(TimeLogTable[[#This Row],[Date]],"dddd")</f>
        <v>Thursday</v>
      </c>
      <c r="E49" s="41" t="str">
        <f>IFERROR(LOOKUP(TimeLogTable[[#This Row],[Start
Time]],Table4[Start Time],Table4[Time of Day]),"")</f>
        <v>Early Morning</v>
      </c>
      <c r="F49" s="41" t="str">
        <f>IFERROR(INDEX(Projects[Productive],MATCH(TimeLogTable[[#This Row],[Task ID]],Projects[Task ID],0)),"")</f>
        <v>Productive Hours</v>
      </c>
      <c r="G49" s="61">
        <v>44273</v>
      </c>
      <c r="H49" s="41" t="s">
        <v>29</v>
      </c>
      <c r="I49" s="42" t="s">
        <v>32</v>
      </c>
      <c r="J49" s="43"/>
      <c r="K49" s="43" t="s">
        <v>58</v>
      </c>
      <c r="L49" s="19">
        <v>0.32291666666666669</v>
      </c>
      <c r="M49" s="19"/>
      <c r="N49" s="19">
        <v>0.33333333333333331</v>
      </c>
      <c r="O49" s="18"/>
      <c r="P49" s="16">
        <f t="shared" si="2"/>
        <v>0.25</v>
      </c>
      <c r="Q49" s="16" t="str">
        <f>IF(AND(TimeLogTable[[#This Row],[Date]]&gt;=$M$8,TimeLogTable[[#This Row],[Date]]&lt;=$M$9),"yes","no")</f>
        <v>no</v>
      </c>
    </row>
    <row r="50" spans="1:17">
      <c r="A50" s="20" t="str">
        <f>TEXT(TimeLogTable[[#This Row],[Date]], "yyyy")</f>
        <v>2021</v>
      </c>
      <c r="B50" s="20" t="str">
        <f>TEXT(TimeLogTable[[#This Row],[Date]], "mmm")</f>
        <v>Mar</v>
      </c>
      <c r="C50" s="20" t="str">
        <f>IFERROR(LOOKUP(TimeLogTable[[#This Row],[Date]],Table44[Start Date],Table44[Week Of]),"")</f>
        <v/>
      </c>
      <c r="D50" s="41" t="str">
        <f>TEXT(TimeLogTable[[#This Row],[Date]],"dddd")</f>
        <v>Thursday</v>
      </c>
      <c r="E50" s="41" t="str">
        <f>IFERROR(LOOKUP(TimeLogTable[[#This Row],[Start
Time]],Table4[Start Time],Table4[Time of Day]),"")</f>
        <v>Early Morning</v>
      </c>
      <c r="F50" s="41" t="str">
        <f>IFERROR(INDEX(Projects[Productive],MATCH(TimeLogTable[[#This Row],[Task ID]],Projects[Task ID],0)),"")</f>
        <v>Productive Hours</v>
      </c>
      <c r="G50" s="61">
        <v>44273</v>
      </c>
      <c r="H50" s="41" t="s">
        <v>33</v>
      </c>
      <c r="I50" s="42" t="s">
        <v>78</v>
      </c>
      <c r="J50" s="43"/>
      <c r="K50" s="43" t="s">
        <v>60</v>
      </c>
      <c r="L50" s="19">
        <v>0.33333333333333331</v>
      </c>
      <c r="M50" s="19"/>
      <c r="N50" s="19">
        <v>0.34375</v>
      </c>
      <c r="O50" s="18"/>
      <c r="P50" s="16">
        <f t="shared" si="2"/>
        <v>0.25</v>
      </c>
      <c r="Q50" s="16" t="str">
        <f>IF(AND(TimeLogTable[[#This Row],[Date]]&gt;=$M$8,TimeLogTable[[#This Row],[Date]]&lt;=$M$9),"yes","no")</f>
        <v>no</v>
      </c>
    </row>
    <row r="51" spans="1:17">
      <c r="A51" s="20" t="str">
        <f>TEXT(TimeLogTable[[#This Row],[Date]], "yyyy")</f>
        <v>2021</v>
      </c>
      <c r="B51" s="20" t="str">
        <f>TEXT(TimeLogTable[[#This Row],[Date]], "mmm")</f>
        <v>Mar</v>
      </c>
      <c r="C51" s="20" t="str">
        <f>IFERROR(LOOKUP(TimeLogTable[[#This Row],[Date]],Table44[Start Date],Table44[Week Of]),"")</f>
        <v/>
      </c>
      <c r="D51" s="41" t="str">
        <f>TEXT(TimeLogTable[[#This Row],[Date]],"dddd")</f>
        <v>Thursday</v>
      </c>
      <c r="E51" s="41" t="str">
        <f>IFERROR(LOOKUP(TimeLogTable[[#This Row],[Start
Time]],Table4[Start Time],Table4[Time of Day]),"")</f>
        <v>Early Morning</v>
      </c>
      <c r="F51" s="41" t="str">
        <f>IFERROR(INDEX(Projects[Productive],MATCH(TimeLogTable[[#This Row],[Task ID]],Projects[Task ID],0)),"")</f>
        <v>Wasted Hours</v>
      </c>
      <c r="G51" s="61">
        <v>44273</v>
      </c>
      <c r="H51" s="41" t="s">
        <v>49</v>
      </c>
      <c r="I51" s="42" t="s">
        <v>50</v>
      </c>
      <c r="J51" s="43"/>
      <c r="K51" s="43" t="s">
        <v>61</v>
      </c>
      <c r="L51" s="19">
        <v>0.34375</v>
      </c>
      <c r="M51" s="19"/>
      <c r="N51" s="19">
        <v>0.375</v>
      </c>
      <c r="O51" s="18"/>
      <c r="P51" s="16">
        <f t="shared" si="2"/>
        <v>0.75</v>
      </c>
      <c r="Q51" s="16" t="str">
        <f>IF(AND(TimeLogTable[[#This Row],[Date]]&gt;=$M$8,TimeLogTable[[#This Row],[Date]]&lt;=$M$9),"yes","no")</f>
        <v>no</v>
      </c>
    </row>
    <row r="52" spans="1:17">
      <c r="A52" s="20" t="str">
        <f>TEXT(TimeLogTable[[#This Row],[Date]], "yyyy")</f>
        <v>2021</v>
      </c>
      <c r="B52" s="20" t="str">
        <f>TEXT(TimeLogTable[[#This Row],[Date]], "mmm")</f>
        <v>Mar</v>
      </c>
      <c r="C52" s="20" t="str">
        <f>IFERROR(LOOKUP(TimeLogTable[[#This Row],[Date]],Table44[Start Date],Table44[Week Of]),"")</f>
        <v/>
      </c>
      <c r="D52" s="41" t="str">
        <f>TEXT(TimeLogTable[[#This Row],[Date]],"dddd")</f>
        <v>Thursday</v>
      </c>
      <c r="E52" s="41" t="str">
        <f>IFERROR(LOOKUP(TimeLogTable[[#This Row],[Start
Time]],Table4[Start Time],Table4[Time of Day]),"")</f>
        <v>Morning</v>
      </c>
      <c r="F52" s="41" t="str">
        <f>IFERROR(INDEX(Projects[Productive],MATCH(TimeLogTable[[#This Row],[Task ID]],Projects[Task ID],0)),"")</f>
        <v>Productive Hours</v>
      </c>
      <c r="G52" s="61">
        <v>44273</v>
      </c>
      <c r="H52" s="41" t="s">
        <v>33</v>
      </c>
      <c r="I52" s="42" t="s">
        <v>79</v>
      </c>
      <c r="J52" s="43"/>
      <c r="K52" s="43" t="s">
        <v>62</v>
      </c>
      <c r="L52" s="19">
        <v>0.375</v>
      </c>
      <c r="M52" s="19"/>
      <c r="N52" s="19">
        <v>0.5</v>
      </c>
      <c r="O52" s="18"/>
      <c r="P52" s="16">
        <f t="shared" si="2"/>
        <v>3</v>
      </c>
      <c r="Q52" s="16" t="str">
        <f>IF(AND(TimeLogTable[[#This Row],[Date]]&gt;=$M$8,TimeLogTable[[#This Row],[Date]]&lt;=$M$9),"yes","no")</f>
        <v>no</v>
      </c>
    </row>
    <row r="53" spans="1:17">
      <c r="A53" s="20" t="str">
        <f>TEXT(TimeLogTable[[#This Row],[Date]], "yyyy")</f>
        <v>2021</v>
      </c>
      <c r="B53" s="20" t="str">
        <f>TEXT(TimeLogTable[[#This Row],[Date]], "mmm")</f>
        <v>Mar</v>
      </c>
      <c r="C53" s="20" t="str">
        <f>IFERROR(LOOKUP(TimeLogTable[[#This Row],[Date]],Table44[Start Date],Table44[Week Of]),"")</f>
        <v/>
      </c>
      <c r="D53" s="41" t="str">
        <f>TEXT(TimeLogTable[[#This Row],[Date]],"dddd")</f>
        <v>Thursday</v>
      </c>
      <c r="E53" s="41" t="str">
        <f>IFERROR(LOOKUP(TimeLogTable[[#This Row],[Start
Time]],Table4[Start Time],Table4[Time of Day]),"")</f>
        <v>Afternoon</v>
      </c>
      <c r="F53" s="41" t="str">
        <f>IFERROR(INDEX(Projects[Productive],MATCH(TimeLogTable[[#This Row],[Task ID]],Projects[Task ID],0)),"")</f>
        <v>Wasted Hours</v>
      </c>
      <c r="G53" s="61">
        <v>44273</v>
      </c>
      <c r="H53" s="41" t="s">
        <v>38</v>
      </c>
      <c r="I53" s="42" t="s">
        <v>39</v>
      </c>
      <c r="J53" s="43"/>
      <c r="K53" s="43" t="s">
        <v>63</v>
      </c>
      <c r="L53" s="19">
        <v>0.5</v>
      </c>
      <c r="M53" s="19"/>
      <c r="N53" s="19">
        <v>0.625</v>
      </c>
      <c r="O53" s="18"/>
      <c r="P53" s="16">
        <f t="shared" si="2"/>
        <v>3</v>
      </c>
      <c r="Q53" s="16" t="str">
        <f>IF(AND(TimeLogTable[[#This Row],[Date]]&gt;=$M$8,TimeLogTable[[#This Row],[Date]]&lt;=$M$9),"yes","no")</f>
        <v>no</v>
      </c>
    </row>
    <row r="54" spans="1:17">
      <c r="A54" s="20" t="str">
        <f>TEXT(TimeLogTable[[#This Row],[Date]], "yyyy")</f>
        <v>2021</v>
      </c>
      <c r="B54" s="20" t="str">
        <f>TEXT(TimeLogTable[[#This Row],[Date]], "mmm")</f>
        <v>Mar</v>
      </c>
      <c r="C54" s="20" t="str">
        <f>IFERROR(LOOKUP(TimeLogTable[[#This Row],[Date]],Table44[Start Date],Table44[Week Of]),"")</f>
        <v/>
      </c>
      <c r="D54" s="41" t="str">
        <f>TEXT(TimeLogTable[[#This Row],[Date]],"dddd")</f>
        <v>Thursday</v>
      </c>
      <c r="E54" s="41" t="str">
        <f>IFERROR(LOOKUP(TimeLogTable[[#This Row],[Start
Time]],Table4[Start Time],Table4[Time of Day]),"")</f>
        <v>Afternoon</v>
      </c>
      <c r="F54" s="41" t="str">
        <f>IFERROR(INDEX(Projects[Productive],MATCH(TimeLogTable[[#This Row],[Task ID]],Projects[Task ID],0)),"")</f>
        <v>Productive Hours</v>
      </c>
      <c r="G54" s="61">
        <v>44273</v>
      </c>
      <c r="H54" s="41" t="s">
        <v>33</v>
      </c>
      <c r="I54" s="42" t="s">
        <v>79</v>
      </c>
      <c r="J54" s="43"/>
      <c r="K54" s="43" t="s">
        <v>64</v>
      </c>
      <c r="L54" s="19">
        <v>0.625</v>
      </c>
      <c r="M54" s="19"/>
      <c r="N54" s="19">
        <v>0.75</v>
      </c>
      <c r="O54" s="18"/>
      <c r="P54" s="16">
        <f t="shared" si="2"/>
        <v>3</v>
      </c>
      <c r="Q54" s="16" t="str">
        <f>IF(AND(TimeLogTable[[#This Row],[Date]]&gt;=$M$8,TimeLogTable[[#This Row],[Date]]&lt;=$M$9),"yes","no")</f>
        <v>no</v>
      </c>
    </row>
    <row r="55" spans="1:17">
      <c r="A55" s="20" t="str">
        <f>TEXT(TimeLogTable[[#This Row],[Date]], "yyyy")</f>
        <v>2021</v>
      </c>
      <c r="B55" s="20" t="str">
        <f>TEXT(TimeLogTable[[#This Row],[Date]], "mmm")</f>
        <v>Mar</v>
      </c>
      <c r="C55" s="20" t="str">
        <f>IFERROR(LOOKUP(TimeLogTable[[#This Row],[Date]],Table44[Start Date],Table44[Week Of]),"")</f>
        <v/>
      </c>
      <c r="D55" s="41" t="str">
        <f>TEXT(TimeLogTable[[#This Row],[Date]],"dddd")</f>
        <v>Thursday</v>
      </c>
      <c r="E55" s="41" t="str">
        <f>IFERROR(LOOKUP(TimeLogTable[[#This Row],[Start
Time]],Table4[Start Time],Table4[Time of Day]),"")</f>
        <v>Evening</v>
      </c>
      <c r="F55" s="41" t="str">
        <f>IFERROR(INDEX(Projects[Productive],MATCH(TimeLogTable[[#This Row],[Task ID]],Projects[Task ID],0)),"")</f>
        <v>Wasted Hours</v>
      </c>
      <c r="G55" s="61">
        <v>44273</v>
      </c>
      <c r="H55" s="41" t="s">
        <v>49</v>
      </c>
      <c r="I55" s="42" t="s">
        <v>50</v>
      </c>
      <c r="J55" s="43"/>
      <c r="K55" s="43" t="s">
        <v>65</v>
      </c>
      <c r="L55" s="19">
        <v>0.75</v>
      </c>
      <c r="M55" s="19"/>
      <c r="N55" s="19">
        <v>0.79166666666666663</v>
      </c>
      <c r="O55" s="18"/>
      <c r="P55" s="16">
        <f t="shared" si="2"/>
        <v>1</v>
      </c>
      <c r="Q55" s="16" t="str">
        <f>IF(AND(TimeLogTable[[#This Row],[Date]]&gt;=$M$8,TimeLogTable[[#This Row],[Date]]&lt;=$M$9),"yes","no")</f>
        <v>no</v>
      </c>
    </row>
    <row r="56" spans="1:17">
      <c r="A56" s="20" t="str">
        <f>TEXT(TimeLogTable[[#This Row],[Date]], "yyyy")</f>
        <v>2021</v>
      </c>
      <c r="B56" s="20" t="str">
        <f>TEXT(TimeLogTable[[#This Row],[Date]], "mmm")</f>
        <v>Mar</v>
      </c>
      <c r="C56" s="20" t="str">
        <f>IFERROR(LOOKUP(TimeLogTable[[#This Row],[Date]],Table44[Start Date],Table44[Week Of]),"")</f>
        <v/>
      </c>
      <c r="D56" s="41" t="str">
        <f>TEXT(TimeLogTable[[#This Row],[Date]],"dddd")</f>
        <v>Thursday</v>
      </c>
      <c r="E56" s="41" t="str">
        <f>IFERROR(LOOKUP(TimeLogTable[[#This Row],[Start
Time]],Table4[Start Time],Table4[Time of Day]),"")</f>
        <v>Evening</v>
      </c>
      <c r="F56" s="41" t="str">
        <f>IFERROR(INDEX(Projects[Productive],MATCH(TimeLogTable[[#This Row],[Task ID]],Projects[Task ID],0)),"")</f>
        <v>Wasted Hours</v>
      </c>
      <c r="G56" s="61">
        <v>44273</v>
      </c>
      <c r="H56" s="41" t="s">
        <v>26</v>
      </c>
      <c r="I56" s="42" t="s">
        <v>56</v>
      </c>
      <c r="J56" s="43"/>
      <c r="K56" s="43" t="s">
        <v>57</v>
      </c>
      <c r="L56" s="19">
        <v>0.79166666666666663</v>
      </c>
      <c r="M56" s="19"/>
      <c r="N56" s="19">
        <v>0.875</v>
      </c>
      <c r="O56" s="18"/>
      <c r="P56" s="16">
        <f t="shared" si="2"/>
        <v>2</v>
      </c>
      <c r="Q56" s="16" t="str">
        <f>IF(AND(TimeLogTable[[#This Row],[Date]]&gt;=$M$8,TimeLogTable[[#This Row],[Date]]&lt;=$M$9),"yes","no")</f>
        <v>no</v>
      </c>
    </row>
    <row r="57" spans="1:17">
      <c r="A57" s="20" t="str">
        <f>TEXT(TimeLogTable[[#This Row],[Date]], "yyyy")</f>
        <v>2021</v>
      </c>
      <c r="B57" s="20" t="str">
        <f>TEXT(TimeLogTable[[#This Row],[Date]], "mmm")</f>
        <v>Mar</v>
      </c>
      <c r="C57" s="20" t="str">
        <f>IFERROR(LOOKUP(TimeLogTable[[#This Row],[Date]],Table44[Start Date],Table44[Week Of]),"")</f>
        <v/>
      </c>
      <c r="D57" s="41" t="str">
        <f>TEXT(TimeLogTable[[#This Row],[Date]],"dddd")</f>
        <v>Friday</v>
      </c>
      <c r="E57" s="41" t="str">
        <f>IFERROR(LOOKUP(TimeLogTable[[#This Row],[Start
Time]],Table4[Start Time],Table4[Time of Day]),"")</f>
        <v>Late Evening</v>
      </c>
      <c r="F57" s="41" t="str">
        <f>IFERROR(INDEX(Projects[Productive],MATCH(TimeLogTable[[#This Row],[Task ID]],Projects[Task ID],0)),"")</f>
        <v>Productive Hours</v>
      </c>
      <c r="G57" s="61">
        <v>44274</v>
      </c>
      <c r="H57" s="41" t="s">
        <v>107</v>
      </c>
      <c r="I57" s="42" t="s">
        <v>45</v>
      </c>
      <c r="J57" s="43"/>
      <c r="K57" s="42"/>
      <c r="L57" s="19">
        <v>0.875</v>
      </c>
      <c r="M57" s="19"/>
      <c r="N57" s="19">
        <v>0.25</v>
      </c>
      <c r="O57" s="18"/>
      <c r="P57" s="16">
        <f t="shared" si="2"/>
        <v>9</v>
      </c>
      <c r="Q57" s="16" t="str">
        <f>IF(AND(TimeLogTable[[#This Row],[Date]]&gt;=$M$8,TimeLogTable[[#This Row],[Date]]&lt;=$M$9),"yes","no")</f>
        <v>no</v>
      </c>
    </row>
    <row r="58" spans="1:17">
      <c r="A58" s="20" t="str">
        <f>TEXT(TimeLogTable[[#This Row],[Date]], "yyyy")</f>
        <v>2021</v>
      </c>
      <c r="B58" s="20" t="str">
        <f>TEXT(TimeLogTable[[#This Row],[Date]], "mmm")</f>
        <v>Apr</v>
      </c>
      <c r="C58" s="20" t="str">
        <f>IFERROR(LOOKUP(TimeLogTable[[#This Row],[Date]],Table44[Start Date],Table44[Week Of]),"")</f>
        <v>Week of 03/29/2021</v>
      </c>
      <c r="D58" s="41" t="str">
        <f>TEXT(TimeLogTable[[#This Row],[Date]],"dddd")</f>
        <v>Thursday</v>
      </c>
      <c r="E58" s="41" t="str">
        <f>IFERROR(LOOKUP(TimeLogTable[[#This Row],[Start
Time]],Table4[Start Time],Table4[Time of Day]),"")</f>
        <v>Afternoon</v>
      </c>
      <c r="F58" s="41" t="str">
        <f>IFERROR(INDEX(Projects[Productive],MATCH(TimeLogTable[[#This Row],[Task ID]],Projects[Task ID],0)),"")</f>
        <v>Wasted Hours</v>
      </c>
      <c r="G58" s="61">
        <v>44287</v>
      </c>
      <c r="H58" s="41" t="s">
        <v>49</v>
      </c>
      <c r="I58" s="42" t="s">
        <v>50</v>
      </c>
      <c r="J58" s="43"/>
      <c r="K58" s="43" t="s">
        <v>52</v>
      </c>
      <c r="L58" s="19">
        <v>0.70416666666666661</v>
      </c>
      <c r="M58" s="19"/>
      <c r="N58" s="19">
        <v>0.72499999999999998</v>
      </c>
      <c r="O58" s="18"/>
      <c r="P58" s="16">
        <f t="shared" si="2"/>
        <v>0.5</v>
      </c>
      <c r="Q58" s="16" t="str">
        <f>IF(AND(TimeLogTable[[#This Row],[Date]]&gt;=$M$8,TimeLogTable[[#This Row],[Date]]&lt;=$M$9),"yes","no")</f>
        <v>no</v>
      </c>
    </row>
    <row r="59" spans="1:17">
      <c r="A59" s="20" t="str">
        <f>TEXT(TimeLogTable[[#This Row],[Date]], "yyyy")</f>
        <v>2021</v>
      </c>
      <c r="B59" s="20" t="str">
        <f>TEXT(TimeLogTable[[#This Row],[Date]], "mmm")</f>
        <v>Apr</v>
      </c>
      <c r="C59" s="20" t="str">
        <f>IFERROR(LOOKUP(TimeLogTable[[#This Row],[Date]],Table44[Start Date],Table44[Week Of]),"")</f>
        <v>Week of 03/29/2021</v>
      </c>
      <c r="D59" s="41" t="str">
        <f>TEXT(TimeLogTable[[#This Row],[Date]],"dddd")</f>
        <v>Friday</v>
      </c>
      <c r="E59" s="41" t="str">
        <f>IFERROR(LOOKUP(TimeLogTable[[#This Row],[Start
Time]],Table4[Start Time],Table4[Time of Day]),"")</f>
        <v>Afternoon</v>
      </c>
      <c r="F59" s="41" t="str">
        <f>IFERROR(INDEX(Projects[Productive],MATCH(TimeLogTable[[#This Row],[Task ID]],Projects[Task ID],0)),"")</f>
        <v>Productive Hours</v>
      </c>
      <c r="G59" s="61">
        <v>44288</v>
      </c>
      <c r="H59" s="41" t="s">
        <v>33</v>
      </c>
      <c r="I59" s="42" t="s">
        <v>78</v>
      </c>
      <c r="J59" s="43"/>
      <c r="K59" s="43" t="s">
        <v>53</v>
      </c>
      <c r="L59" s="19">
        <v>0.72499999999999998</v>
      </c>
      <c r="M59" s="19"/>
      <c r="N59" s="39">
        <v>0.91666666666666663</v>
      </c>
      <c r="O59" s="18"/>
      <c r="P59" s="16">
        <f t="shared" si="2"/>
        <v>4.5999999999999996</v>
      </c>
      <c r="Q59" s="16" t="str">
        <f>IF(AND(TimeLogTable[[#This Row],[Date]]&gt;=$M$8,TimeLogTable[[#This Row],[Date]]&lt;=$M$9),"yes","no")</f>
        <v>no</v>
      </c>
    </row>
    <row r="60" spans="1:17">
      <c r="A60" s="20" t="str">
        <f>TEXT(TimeLogTable[[#This Row],[Date]], "yyyy")</f>
        <v>2021</v>
      </c>
      <c r="B60" s="20" t="str">
        <f>TEXT(TimeLogTable[[#This Row],[Date]], "mmm")</f>
        <v>Apr</v>
      </c>
      <c r="C60" s="20" t="str">
        <f>IFERROR(LOOKUP(TimeLogTable[[#This Row],[Date]],Table44[Start Date],Table44[Week Of]),"")</f>
        <v>Week of 03/29/2021</v>
      </c>
      <c r="D60" s="41" t="str">
        <f>TEXT(TimeLogTable[[#This Row],[Date]],"dddd")</f>
        <v>Saturday</v>
      </c>
      <c r="E60" s="41" t="str">
        <f>IFERROR(LOOKUP(TimeLogTable[[#This Row],[Start
Time]],Table4[Start Time],Table4[Time of Day]),"")</f>
        <v>Late Evening</v>
      </c>
      <c r="F60" s="41" t="str">
        <f>IFERROR(INDEX(Projects[Productive],MATCH(TimeLogTable[[#This Row],[Task ID]],Projects[Task ID],0)),"")</f>
        <v>Wasted Hours</v>
      </c>
      <c r="G60" s="61">
        <v>44289</v>
      </c>
      <c r="H60" s="41" t="s">
        <v>49</v>
      </c>
      <c r="I60" s="42" t="s">
        <v>50</v>
      </c>
      <c r="J60" s="43"/>
      <c r="K60" s="43" t="s">
        <v>54</v>
      </c>
      <c r="L60" s="39">
        <v>0.91666666666666663</v>
      </c>
      <c r="M60" s="19"/>
      <c r="N60" s="19">
        <v>0.9375</v>
      </c>
      <c r="O60" s="18"/>
      <c r="P60" s="16">
        <f t="shared" si="2"/>
        <v>0.5</v>
      </c>
      <c r="Q60" s="16" t="str">
        <f>IF(AND(TimeLogTable[[#This Row],[Date]]&gt;=$M$8,TimeLogTable[[#This Row],[Date]]&lt;=$M$9),"yes","no")</f>
        <v>no</v>
      </c>
    </row>
    <row r="61" spans="1:17">
      <c r="A61" s="20" t="str">
        <f>TEXT(TimeLogTable[[#This Row],[Date]], "yyyy")</f>
        <v>2021</v>
      </c>
      <c r="B61" s="20" t="str">
        <f>TEXT(TimeLogTable[[#This Row],[Date]], "mmm")</f>
        <v>Apr</v>
      </c>
      <c r="C61" s="20" t="str">
        <f>IFERROR(LOOKUP(TimeLogTable[[#This Row],[Date]],Table44[Start Date],Table44[Week Of]),"")</f>
        <v>Week of 03/29/2021</v>
      </c>
      <c r="D61" s="41" t="str">
        <f>TEXT(TimeLogTable[[#This Row],[Date]],"dddd")</f>
        <v>Sunday</v>
      </c>
      <c r="E61" s="41" t="str">
        <f>IFERROR(LOOKUP(TimeLogTable[[#This Row],[Start
Time]],Table4[Start Time],Table4[Time of Day]),"")</f>
        <v>Late Evening</v>
      </c>
      <c r="F61" s="41" t="str">
        <f>IFERROR(INDEX(Projects[Productive],MATCH(TimeLogTable[[#This Row],[Task ID]],Projects[Task ID],0)),"")</f>
        <v>Productive Hours</v>
      </c>
      <c r="G61" s="61">
        <v>44290</v>
      </c>
      <c r="H61" s="41" t="s">
        <v>107</v>
      </c>
      <c r="I61" s="42" t="s">
        <v>45</v>
      </c>
      <c r="J61" s="43"/>
      <c r="K61" s="42"/>
      <c r="L61" s="19">
        <v>0.9375</v>
      </c>
      <c r="M61" s="19"/>
      <c r="N61" s="22">
        <v>0.25</v>
      </c>
      <c r="O61" s="18"/>
      <c r="P61" s="16">
        <f t="shared" si="2"/>
        <v>7.5</v>
      </c>
      <c r="Q61" s="16" t="str">
        <f>IF(AND(TimeLogTable[[#This Row],[Date]]&gt;=$M$8,TimeLogTable[[#This Row],[Date]]&lt;=$M$9),"yes","no")</f>
        <v>no</v>
      </c>
    </row>
    <row r="62" spans="1:17">
      <c r="A62" s="20" t="str">
        <f>TEXT(TimeLogTable[[#This Row],[Date]], "yyyy")</f>
        <v>2021</v>
      </c>
      <c r="B62" s="20" t="str">
        <f>TEXT(TimeLogTable[[#This Row],[Date]], "mmm")</f>
        <v>Apr</v>
      </c>
      <c r="C62" s="20" t="str">
        <f>IFERROR(LOOKUP(TimeLogTable[[#This Row],[Date]],Table44[Start Date],Table44[Week Of]),"")</f>
        <v>Week of 04/05/2021</v>
      </c>
      <c r="D62" s="41" t="str">
        <f>TEXT(TimeLogTable[[#This Row],[Date]],"dddd")</f>
        <v>Monday</v>
      </c>
      <c r="E62" s="41" t="str">
        <f>IFERROR(LOOKUP(TimeLogTable[[#This Row],[Start
Time]],Table4[Start Time],Table4[Time of Day]),"")</f>
        <v>Early Morning</v>
      </c>
      <c r="F62" s="41" t="str">
        <f>IFERROR(INDEX(Projects[Productive],MATCH(TimeLogTable[[#This Row],[Task ID]],Projects[Task ID],0)),"")</f>
        <v>Productive Hours</v>
      </c>
      <c r="G62" s="61">
        <v>44291</v>
      </c>
      <c r="H62" s="41" t="s">
        <v>29</v>
      </c>
      <c r="I62" s="42" t="s">
        <v>28</v>
      </c>
      <c r="J62" s="43"/>
      <c r="K62" s="43" t="s">
        <v>59</v>
      </c>
      <c r="L62" s="19">
        <v>0.29166666666666669</v>
      </c>
      <c r="M62" s="19"/>
      <c r="N62" s="19">
        <v>0.32291666666666669</v>
      </c>
      <c r="O62" s="18"/>
      <c r="P62" s="16">
        <f t="shared" si="2"/>
        <v>0.75</v>
      </c>
      <c r="Q62" s="16" t="str">
        <f>IF(AND(TimeLogTable[[#This Row],[Date]]&gt;=$M$8,TimeLogTable[[#This Row],[Date]]&lt;=$M$9),"yes","no")</f>
        <v>no</v>
      </c>
    </row>
    <row r="63" spans="1:17">
      <c r="A63" s="20" t="str">
        <f>TEXT(TimeLogTable[[#This Row],[Date]], "yyyy")</f>
        <v>2021</v>
      </c>
      <c r="B63" s="20" t="str">
        <f>TEXT(TimeLogTable[[#This Row],[Date]], "mmm")</f>
        <v>Apr</v>
      </c>
      <c r="C63" s="20" t="str">
        <f>IFERROR(LOOKUP(TimeLogTable[[#This Row],[Date]],Table44[Start Date],Table44[Week Of]),"")</f>
        <v>Week of 04/05/2021</v>
      </c>
      <c r="D63" s="41" t="str">
        <f>TEXT(TimeLogTable[[#This Row],[Date]],"dddd")</f>
        <v>Tuesday</v>
      </c>
      <c r="E63" s="41" t="str">
        <f>IFERROR(LOOKUP(TimeLogTable[[#This Row],[Start
Time]],Table4[Start Time],Table4[Time of Day]),"")</f>
        <v>Early Morning</v>
      </c>
      <c r="F63" s="41" t="str">
        <f>IFERROR(INDEX(Projects[Productive],MATCH(TimeLogTable[[#This Row],[Task ID]],Projects[Task ID],0)),"")</f>
        <v>Productive Hours</v>
      </c>
      <c r="G63" s="61">
        <v>44292</v>
      </c>
      <c r="H63" s="41" t="s">
        <v>29</v>
      </c>
      <c r="I63" s="42" t="s">
        <v>32</v>
      </c>
      <c r="J63" s="43"/>
      <c r="K63" s="43" t="s">
        <v>58</v>
      </c>
      <c r="L63" s="19">
        <v>0.32291666666666669</v>
      </c>
      <c r="M63" s="19"/>
      <c r="N63" s="19">
        <v>0.33333333333333331</v>
      </c>
      <c r="O63" s="18"/>
      <c r="P63" s="16">
        <f t="shared" si="2"/>
        <v>0.25</v>
      </c>
      <c r="Q63" s="16" t="str">
        <f>IF(AND(TimeLogTable[[#This Row],[Date]]&gt;=$M$8,TimeLogTable[[#This Row],[Date]]&lt;=$M$9),"yes","no")</f>
        <v>no</v>
      </c>
    </row>
    <row r="64" spans="1:17">
      <c r="A64" s="20" t="str">
        <f>TEXT(TimeLogTable[[#This Row],[Date]], "yyyy")</f>
        <v>2021</v>
      </c>
      <c r="B64" s="20" t="str">
        <f>TEXT(TimeLogTable[[#This Row],[Date]], "mmm")</f>
        <v>Apr</v>
      </c>
      <c r="C64" s="20" t="str">
        <f>IFERROR(LOOKUP(TimeLogTable[[#This Row],[Date]],Table44[Start Date],Table44[Week Of]),"")</f>
        <v>Week of 04/05/2021</v>
      </c>
      <c r="D64" s="41" t="str">
        <f>TEXT(TimeLogTable[[#This Row],[Date]],"dddd")</f>
        <v>Wednesday</v>
      </c>
      <c r="E64" s="41" t="str">
        <f>IFERROR(LOOKUP(TimeLogTable[[#This Row],[Start
Time]],Table4[Start Time],Table4[Time of Day]),"")</f>
        <v>Early Morning</v>
      </c>
      <c r="F64" s="41" t="str">
        <f>IFERROR(INDEX(Projects[Productive],MATCH(TimeLogTable[[#This Row],[Task ID]],Projects[Task ID],0)),"")</f>
        <v>Productive Hours</v>
      </c>
      <c r="G64" s="61">
        <v>44293</v>
      </c>
      <c r="H64" s="41" t="s">
        <v>33</v>
      </c>
      <c r="I64" s="42" t="s">
        <v>78</v>
      </c>
      <c r="J64" s="43"/>
      <c r="K64" s="43" t="s">
        <v>60</v>
      </c>
      <c r="L64" s="19">
        <v>0.33333333333333331</v>
      </c>
      <c r="M64" s="19"/>
      <c r="N64" s="19">
        <v>0.34375</v>
      </c>
      <c r="O64" s="18"/>
      <c r="P64" s="16">
        <f t="shared" si="2"/>
        <v>0.25</v>
      </c>
      <c r="Q64" s="16" t="str">
        <f>IF(AND(TimeLogTable[[#This Row],[Date]]&gt;=$M$8,TimeLogTable[[#This Row],[Date]]&lt;=$M$9),"yes","no")</f>
        <v>no</v>
      </c>
    </row>
    <row r="65" spans="1:17">
      <c r="A65" s="20" t="str">
        <f>TEXT(TimeLogTable[[#This Row],[Date]], "yyyy")</f>
        <v>2021</v>
      </c>
      <c r="B65" s="20" t="str">
        <f>TEXT(TimeLogTable[[#This Row],[Date]], "mmm")</f>
        <v>Apr</v>
      </c>
      <c r="C65" s="20" t="str">
        <f>IFERROR(LOOKUP(TimeLogTable[[#This Row],[Date]],Table44[Start Date],Table44[Week Of]),"")</f>
        <v>Week of 04/05/2021</v>
      </c>
      <c r="D65" s="41" t="str">
        <f>TEXT(TimeLogTable[[#This Row],[Date]],"dddd")</f>
        <v>Thursday</v>
      </c>
      <c r="E65" s="41" t="str">
        <f>IFERROR(LOOKUP(TimeLogTable[[#This Row],[Start
Time]],Table4[Start Time],Table4[Time of Day]),"")</f>
        <v>Early Morning</v>
      </c>
      <c r="F65" s="41" t="str">
        <f>IFERROR(INDEX(Projects[Productive],MATCH(TimeLogTable[[#This Row],[Task ID]],Projects[Task ID],0)),"")</f>
        <v>Wasted Hours</v>
      </c>
      <c r="G65" s="61">
        <v>44294</v>
      </c>
      <c r="H65" s="41" t="s">
        <v>49</v>
      </c>
      <c r="I65" s="42" t="s">
        <v>50</v>
      </c>
      <c r="J65" s="43"/>
      <c r="K65" s="43" t="s">
        <v>61</v>
      </c>
      <c r="L65" s="19">
        <v>0.34375</v>
      </c>
      <c r="M65" s="19"/>
      <c r="N65" s="19">
        <v>0.375</v>
      </c>
      <c r="O65" s="18"/>
      <c r="P65" s="16">
        <f t="shared" si="2"/>
        <v>0.75</v>
      </c>
      <c r="Q65" s="16" t="str">
        <f>IF(AND(TimeLogTable[[#This Row],[Date]]&gt;=$M$8,TimeLogTable[[#This Row],[Date]]&lt;=$M$9),"yes","no")</f>
        <v>no</v>
      </c>
    </row>
    <row r="66" spans="1:17">
      <c r="A66" s="20" t="str">
        <f>TEXT(TimeLogTable[[#This Row],[Date]], "yyyy")</f>
        <v>2021</v>
      </c>
      <c r="B66" s="20" t="str">
        <f>TEXT(TimeLogTable[[#This Row],[Date]], "mmm")</f>
        <v>Apr</v>
      </c>
      <c r="C66" s="20" t="str">
        <f>IFERROR(LOOKUP(TimeLogTable[[#This Row],[Date]],Table44[Start Date],Table44[Week Of]),"")</f>
        <v>Week of 04/05/2021</v>
      </c>
      <c r="D66" s="41" t="str">
        <f>TEXT(TimeLogTable[[#This Row],[Date]],"dddd")</f>
        <v>Friday</v>
      </c>
      <c r="E66" s="41" t="str">
        <f>IFERROR(LOOKUP(TimeLogTable[[#This Row],[Start
Time]],Table4[Start Time],Table4[Time of Day]),"")</f>
        <v>Morning</v>
      </c>
      <c r="F66" s="41" t="str">
        <f>IFERROR(INDEX(Projects[Productive],MATCH(TimeLogTable[[#This Row],[Task ID]],Projects[Task ID],0)),"")</f>
        <v>Productive Hours</v>
      </c>
      <c r="G66" s="61">
        <v>44295</v>
      </c>
      <c r="H66" s="41" t="s">
        <v>33</v>
      </c>
      <c r="I66" s="42" t="s">
        <v>79</v>
      </c>
      <c r="J66" s="43"/>
      <c r="K66" s="43" t="s">
        <v>62</v>
      </c>
      <c r="L66" s="19">
        <v>0.375</v>
      </c>
      <c r="M66" s="19"/>
      <c r="N66" s="19">
        <v>0.5</v>
      </c>
      <c r="O66" s="18"/>
      <c r="P66" s="16">
        <f t="shared" si="2"/>
        <v>3</v>
      </c>
      <c r="Q66" s="16" t="str">
        <f>IF(AND(TimeLogTable[[#This Row],[Date]]&gt;=$M$8,TimeLogTable[[#This Row],[Date]]&lt;=$M$9),"yes","no")</f>
        <v>no</v>
      </c>
    </row>
    <row r="67" spans="1:17">
      <c r="A67" s="20" t="str">
        <f>TEXT(TimeLogTable[[#This Row],[Date]], "yyyy")</f>
        <v>2021</v>
      </c>
      <c r="B67" s="20" t="str">
        <f>TEXT(TimeLogTable[[#This Row],[Date]], "mmm")</f>
        <v>Apr</v>
      </c>
      <c r="C67" s="20" t="str">
        <f>IFERROR(LOOKUP(TimeLogTable[[#This Row],[Date]],Table44[Start Date],Table44[Week Of]),"")</f>
        <v>Week of 04/05/2021</v>
      </c>
      <c r="D67" s="41" t="str">
        <f>TEXT(TimeLogTable[[#This Row],[Date]],"dddd")</f>
        <v>Saturday</v>
      </c>
      <c r="E67" s="41" t="str">
        <f>IFERROR(LOOKUP(TimeLogTable[[#This Row],[Start
Time]],Table4[Start Time],Table4[Time of Day]),"")</f>
        <v>Afternoon</v>
      </c>
      <c r="F67" s="41" t="str">
        <f>IFERROR(INDEX(Projects[Productive],MATCH(TimeLogTable[[#This Row],[Task ID]],Projects[Task ID],0)),"")</f>
        <v>Wasted Hours</v>
      </c>
      <c r="G67" s="61">
        <v>44296</v>
      </c>
      <c r="H67" s="41" t="s">
        <v>38</v>
      </c>
      <c r="I67" s="42" t="s">
        <v>39</v>
      </c>
      <c r="J67" s="43"/>
      <c r="K67" s="43" t="s">
        <v>63</v>
      </c>
      <c r="L67" s="19">
        <v>0.5</v>
      </c>
      <c r="M67" s="19"/>
      <c r="N67" s="19">
        <v>0.625</v>
      </c>
      <c r="O67" s="18"/>
      <c r="P67" s="16">
        <f t="shared" si="2"/>
        <v>3</v>
      </c>
      <c r="Q67" s="16" t="str">
        <f>IF(AND(TimeLogTable[[#This Row],[Date]]&gt;=$M$8,TimeLogTable[[#This Row],[Date]]&lt;=$M$9),"yes","no")</f>
        <v>no</v>
      </c>
    </row>
    <row r="68" spans="1:17">
      <c r="A68" s="20" t="str">
        <f>TEXT(TimeLogTable[[#This Row],[Date]], "yyyy")</f>
        <v>2021</v>
      </c>
      <c r="B68" s="20" t="str">
        <f>TEXT(TimeLogTable[[#This Row],[Date]], "mmm")</f>
        <v>Apr</v>
      </c>
      <c r="C68" s="20" t="str">
        <f>IFERROR(LOOKUP(TimeLogTable[[#This Row],[Date]],Table44[Start Date],Table44[Week Of]),"")</f>
        <v>Week of 04/05/2021</v>
      </c>
      <c r="D68" s="41" t="str">
        <f>TEXT(TimeLogTable[[#This Row],[Date]],"dddd")</f>
        <v>Sunday</v>
      </c>
      <c r="E68" s="41" t="str">
        <f>IFERROR(LOOKUP(TimeLogTable[[#This Row],[Start
Time]],Table4[Start Time],Table4[Time of Day]),"")</f>
        <v>Afternoon</v>
      </c>
      <c r="F68" s="41" t="str">
        <f>IFERROR(INDEX(Projects[Productive],MATCH(TimeLogTable[[#This Row],[Task ID]],Projects[Task ID],0)),"")</f>
        <v>Productive Hours</v>
      </c>
      <c r="G68" s="61">
        <v>44297</v>
      </c>
      <c r="H68" s="41" t="s">
        <v>33</v>
      </c>
      <c r="I68" s="42" t="s">
        <v>79</v>
      </c>
      <c r="J68" s="43"/>
      <c r="K68" s="43" t="s">
        <v>64</v>
      </c>
      <c r="L68" s="19">
        <v>0.625</v>
      </c>
      <c r="M68" s="19"/>
      <c r="N68" s="19">
        <v>0.75</v>
      </c>
      <c r="O68" s="18"/>
      <c r="P68" s="16">
        <f t="shared" si="2"/>
        <v>3</v>
      </c>
      <c r="Q68" s="16" t="str">
        <f>IF(AND(TimeLogTable[[#This Row],[Date]]&gt;=$M$8,TimeLogTable[[#This Row],[Date]]&lt;=$M$9),"yes","no")</f>
        <v>no</v>
      </c>
    </row>
    <row r="69" spans="1:17">
      <c r="A69" s="20" t="str">
        <f>TEXT(TimeLogTable[[#This Row],[Date]], "yyyy")</f>
        <v>2021</v>
      </c>
      <c r="B69" s="20" t="str">
        <f>TEXT(TimeLogTable[[#This Row],[Date]], "mmm")</f>
        <v>Apr</v>
      </c>
      <c r="C69" s="20" t="str">
        <f>IFERROR(LOOKUP(TimeLogTable[[#This Row],[Date]],Table44[Start Date],Table44[Week Of]),"")</f>
        <v>Week of 04/12/2021</v>
      </c>
      <c r="D69" s="41" t="str">
        <f>TEXT(TimeLogTable[[#This Row],[Date]],"dddd")</f>
        <v>Monday</v>
      </c>
      <c r="E69" s="41" t="str">
        <f>IFERROR(LOOKUP(TimeLogTable[[#This Row],[Start
Time]],Table4[Start Time],Table4[Time of Day]),"")</f>
        <v>Evening</v>
      </c>
      <c r="F69" s="41" t="str">
        <f>IFERROR(INDEX(Projects[Productive],MATCH(TimeLogTable[[#This Row],[Task ID]],Projects[Task ID],0)),"")</f>
        <v>Wasted Hours</v>
      </c>
      <c r="G69" s="61">
        <v>44298</v>
      </c>
      <c r="H69" s="41" t="s">
        <v>49</v>
      </c>
      <c r="I69" s="42" t="s">
        <v>50</v>
      </c>
      <c r="J69" s="43"/>
      <c r="K69" s="43" t="s">
        <v>65</v>
      </c>
      <c r="L69" s="19">
        <v>0.75</v>
      </c>
      <c r="M69" s="19"/>
      <c r="N69" s="19">
        <v>0.79166666666666663</v>
      </c>
      <c r="O69" s="18"/>
      <c r="P69" s="16">
        <f t="shared" si="2"/>
        <v>1</v>
      </c>
      <c r="Q69" s="16" t="str">
        <f>IF(AND(TimeLogTable[[#This Row],[Date]]&gt;=$M$8,TimeLogTable[[#This Row],[Date]]&lt;=$M$9),"yes","no")</f>
        <v>no</v>
      </c>
    </row>
    <row r="70" spans="1:17">
      <c r="A70" s="20" t="str">
        <f>TEXT(TimeLogTable[[#This Row],[Date]], "yyyy")</f>
        <v>2021</v>
      </c>
      <c r="B70" s="20" t="str">
        <f>TEXT(TimeLogTable[[#This Row],[Date]], "mmm")</f>
        <v>Apr</v>
      </c>
      <c r="C70" s="20" t="str">
        <f>IFERROR(LOOKUP(TimeLogTable[[#This Row],[Date]],Table44[Start Date],Table44[Week Of]),"")</f>
        <v>Week of 04/12/2021</v>
      </c>
      <c r="D70" s="41" t="str">
        <f>TEXT(TimeLogTable[[#This Row],[Date]],"dddd")</f>
        <v>Tuesday</v>
      </c>
      <c r="E70" s="41" t="str">
        <f>IFERROR(LOOKUP(TimeLogTable[[#This Row],[Start
Time]],Table4[Start Time],Table4[Time of Day]),"")</f>
        <v>Evening</v>
      </c>
      <c r="F70" s="41" t="str">
        <f>IFERROR(INDEX(Projects[Productive],MATCH(TimeLogTable[[#This Row],[Task ID]],Projects[Task ID],0)),"")</f>
        <v>Wasted Hours</v>
      </c>
      <c r="G70" s="61">
        <v>44299</v>
      </c>
      <c r="H70" s="41" t="s">
        <v>26</v>
      </c>
      <c r="I70" s="42" t="s">
        <v>56</v>
      </c>
      <c r="J70" s="43"/>
      <c r="K70" s="43" t="s">
        <v>57</v>
      </c>
      <c r="L70" s="19">
        <v>0.79166666666666663</v>
      </c>
      <c r="M70" s="19"/>
      <c r="N70" s="19">
        <v>0.875</v>
      </c>
      <c r="O70" s="18"/>
      <c r="P70" s="16">
        <f t="shared" si="2"/>
        <v>2</v>
      </c>
      <c r="Q70" s="16" t="str">
        <f>IF(AND(TimeLogTable[[#This Row],[Date]]&gt;=$M$8,TimeLogTable[[#This Row],[Date]]&lt;=$M$9),"yes","no")</f>
        <v>no</v>
      </c>
    </row>
    <row r="71" spans="1:17">
      <c r="A71" s="20" t="str">
        <f>TEXT(TimeLogTable[[#This Row],[Date]], "yyyy")</f>
        <v>2021</v>
      </c>
      <c r="B71" s="20" t="str">
        <f>TEXT(TimeLogTable[[#This Row],[Date]], "mmm")</f>
        <v>Apr</v>
      </c>
      <c r="C71" s="20" t="str">
        <f>IFERROR(LOOKUP(TimeLogTable[[#This Row],[Date]],Table44[Start Date],Table44[Week Of]),"")</f>
        <v>Week of 04/12/2021</v>
      </c>
      <c r="D71" s="41" t="str">
        <f>TEXT(TimeLogTable[[#This Row],[Date]],"dddd")</f>
        <v>Wednesday</v>
      </c>
      <c r="E71" s="41" t="str">
        <f>IFERROR(LOOKUP(TimeLogTable[[#This Row],[Start
Time]],Table4[Start Time],Table4[Time of Day]),"")</f>
        <v>Late Evening</v>
      </c>
      <c r="F71" s="41" t="str">
        <f>IFERROR(INDEX(Projects[Productive],MATCH(TimeLogTable[[#This Row],[Task ID]],Projects[Task ID],0)),"")</f>
        <v>Productive Hours</v>
      </c>
      <c r="G71" s="61">
        <v>44300</v>
      </c>
      <c r="H71" s="41" t="s">
        <v>107</v>
      </c>
      <c r="I71" s="42" t="s">
        <v>45</v>
      </c>
      <c r="J71" s="43"/>
      <c r="K71" s="42"/>
      <c r="L71" s="19">
        <v>0.875</v>
      </c>
      <c r="M71" s="19"/>
      <c r="N71" s="19">
        <v>0.25</v>
      </c>
      <c r="O71" s="18"/>
      <c r="P71" s="16">
        <f t="shared" si="2"/>
        <v>9</v>
      </c>
      <c r="Q71" s="16" t="str">
        <f>IF(AND(TimeLogTable[[#This Row],[Date]]&gt;=$M$8,TimeLogTable[[#This Row],[Date]]&lt;=$M$9),"yes","no")</f>
        <v>no</v>
      </c>
    </row>
    <row r="72" spans="1:17">
      <c r="A72" s="20" t="str">
        <f>TEXT(TimeLogTable[[#This Row],[Date]], "yyyy")</f>
        <v>2021</v>
      </c>
      <c r="B72" s="20" t="str">
        <f>TEXT(TimeLogTable[[#This Row],[Date]], "mmm")</f>
        <v>Apr</v>
      </c>
      <c r="C72" s="20" t="str">
        <f>IFERROR(LOOKUP(TimeLogTable[[#This Row],[Date]],Table44[Start Date],Table44[Week Of]),"")</f>
        <v>Week of 04/12/2021</v>
      </c>
      <c r="D72" s="41" t="str">
        <f>TEXT(TimeLogTable[[#This Row],[Date]],"dddd")</f>
        <v>Thursday</v>
      </c>
      <c r="E72" s="41" t="str">
        <f>IFERROR(LOOKUP(TimeLogTable[[#This Row],[Start
Time]],Table4[Start Time],Table4[Time of Day]),"")</f>
        <v>Afternoon</v>
      </c>
      <c r="F72" s="41" t="str">
        <f>IFERROR(INDEX(Projects[Productive],MATCH(TimeLogTable[[#This Row],[Task ID]],Projects[Task ID],0)),"")</f>
        <v>Wasted Hours</v>
      </c>
      <c r="G72" s="61">
        <v>44301</v>
      </c>
      <c r="H72" s="41" t="s">
        <v>49</v>
      </c>
      <c r="I72" s="42" t="s">
        <v>50</v>
      </c>
      <c r="J72" s="43"/>
      <c r="K72" s="43" t="s">
        <v>52</v>
      </c>
      <c r="L72" s="19">
        <v>0.70416666666666661</v>
      </c>
      <c r="M72" s="19"/>
      <c r="N72" s="19">
        <v>0.72499999999999998</v>
      </c>
      <c r="O72" s="18"/>
      <c r="P72" s="16">
        <f t="shared" si="2"/>
        <v>0.5</v>
      </c>
      <c r="Q72" s="16" t="str">
        <f>IF(AND(TimeLogTable[[#This Row],[Date]]&gt;=$M$8,TimeLogTable[[#This Row],[Date]]&lt;=$M$9),"yes","no")</f>
        <v>no</v>
      </c>
    </row>
    <row r="73" spans="1:17">
      <c r="A73" s="20" t="str">
        <f>TEXT(TimeLogTable[[#This Row],[Date]], "yyyy")</f>
        <v>2021</v>
      </c>
      <c r="B73" s="20" t="str">
        <f>TEXT(TimeLogTable[[#This Row],[Date]], "mmm")</f>
        <v>Apr</v>
      </c>
      <c r="C73" s="20" t="str">
        <f>IFERROR(LOOKUP(TimeLogTable[[#This Row],[Date]],Table44[Start Date],Table44[Week Of]),"")</f>
        <v>Week of 04/12/2021</v>
      </c>
      <c r="D73" s="41" t="str">
        <f>TEXT(TimeLogTable[[#This Row],[Date]],"dddd")</f>
        <v>Friday</v>
      </c>
      <c r="E73" s="41" t="str">
        <f>IFERROR(LOOKUP(TimeLogTable[[#This Row],[Start
Time]],Table4[Start Time],Table4[Time of Day]),"")</f>
        <v>Afternoon</v>
      </c>
      <c r="F73" s="41" t="str">
        <f>IFERROR(INDEX(Projects[Productive],MATCH(TimeLogTable[[#This Row],[Task ID]],Projects[Task ID],0)),"")</f>
        <v>Productive Hours</v>
      </c>
      <c r="G73" s="61">
        <v>44302</v>
      </c>
      <c r="H73" s="41" t="s">
        <v>33</v>
      </c>
      <c r="I73" s="42" t="s">
        <v>78</v>
      </c>
      <c r="J73" s="43"/>
      <c r="K73" s="43" t="s">
        <v>53</v>
      </c>
      <c r="L73" s="19">
        <v>0.72499999999999998</v>
      </c>
      <c r="M73" s="19"/>
      <c r="N73" s="39">
        <v>0.91666666666666663</v>
      </c>
      <c r="O73" s="18"/>
      <c r="P73" s="16">
        <f t="shared" si="2"/>
        <v>4.5999999999999996</v>
      </c>
      <c r="Q73" s="16" t="str">
        <f>IF(AND(TimeLogTable[[#This Row],[Date]]&gt;=$M$8,TimeLogTable[[#This Row],[Date]]&lt;=$M$9),"yes","no")</f>
        <v>no</v>
      </c>
    </row>
    <row r="74" spans="1:17">
      <c r="A74" s="20" t="str">
        <f>TEXT(TimeLogTable[[#This Row],[Date]], "yyyy")</f>
        <v>2021</v>
      </c>
      <c r="B74" s="20" t="str">
        <f>TEXT(TimeLogTable[[#This Row],[Date]], "mmm")</f>
        <v>Apr</v>
      </c>
      <c r="C74" s="20" t="str">
        <f>IFERROR(LOOKUP(TimeLogTable[[#This Row],[Date]],Table44[Start Date],Table44[Week Of]),"")</f>
        <v>Week of 04/12/2021</v>
      </c>
      <c r="D74" s="41" t="str">
        <f>TEXT(TimeLogTable[[#This Row],[Date]],"dddd")</f>
        <v>Saturday</v>
      </c>
      <c r="E74" s="41" t="str">
        <f>IFERROR(LOOKUP(TimeLogTable[[#This Row],[Start
Time]],Table4[Start Time],Table4[Time of Day]),"")</f>
        <v>Late Evening</v>
      </c>
      <c r="F74" s="41" t="str">
        <f>IFERROR(INDEX(Projects[Productive],MATCH(TimeLogTable[[#This Row],[Task ID]],Projects[Task ID],0)),"")</f>
        <v>Wasted Hours</v>
      </c>
      <c r="G74" s="61">
        <v>44303</v>
      </c>
      <c r="H74" s="41" t="s">
        <v>49</v>
      </c>
      <c r="I74" s="42" t="s">
        <v>50</v>
      </c>
      <c r="J74" s="43"/>
      <c r="K74" s="43" t="s">
        <v>54</v>
      </c>
      <c r="L74" s="39">
        <v>0.91666666666666663</v>
      </c>
      <c r="M74" s="19"/>
      <c r="N74" s="19">
        <v>0.9375</v>
      </c>
      <c r="O74" s="18"/>
      <c r="P74" s="16">
        <f t="shared" si="2"/>
        <v>0.5</v>
      </c>
      <c r="Q74" s="16" t="str">
        <f>IF(AND(TimeLogTable[[#This Row],[Date]]&gt;=$M$8,TimeLogTable[[#This Row],[Date]]&lt;=$M$9),"yes","no")</f>
        <v>no</v>
      </c>
    </row>
    <row r="75" spans="1:17">
      <c r="A75" s="20" t="str">
        <f>TEXT(TimeLogTable[[#This Row],[Date]], "yyyy")</f>
        <v>2021</v>
      </c>
      <c r="B75" s="20" t="str">
        <f>TEXT(TimeLogTable[[#This Row],[Date]], "mmm")</f>
        <v>Apr</v>
      </c>
      <c r="C75" s="20" t="str">
        <f>IFERROR(LOOKUP(TimeLogTable[[#This Row],[Date]],Table44[Start Date],Table44[Week Of]),"")</f>
        <v>Week of 04/12/2021</v>
      </c>
      <c r="D75" s="41" t="str">
        <f>TEXT(TimeLogTable[[#This Row],[Date]],"dddd")</f>
        <v>Sunday</v>
      </c>
      <c r="E75" s="41" t="str">
        <f>IFERROR(LOOKUP(TimeLogTable[[#This Row],[Start
Time]],Table4[Start Time],Table4[Time of Day]),"")</f>
        <v>Late Evening</v>
      </c>
      <c r="F75" s="41" t="str">
        <f>IFERROR(INDEX(Projects[Productive],MATCH(TimeLogTable[[#This Row],[Task ID]],Projects[Task ID],0)),"")</f>
        <v>Productive Hours</v>
      </c>
      <c r="G75" s="61">
        <v>44304</v>
      </c>
      <c r="H75" s="41" t="s">
        <v>107</v>
      </c>
      <c r="I75" s="42" t="s">
        <v>45</v>
      </c>
      <c r="J75" s="43"/>
      <c r="K75" s="42"/>
      <c r="L75" s="19">
        <v>0.9375</v>
      </c>
      <c r="M75" s="19"/>
      <c r="N75" s="22">
        <v>0.25</v>
      </c>
      <c r="O75" s="18"/>
      <c r="P75" s="16">
        <f t="shared" si="2"/>
        <v>7.5</v>
      </c>
      <c r="Q75" s="16" t="str">
        <f>IF(AND(TimeLogTable[[#This Row],[Date]]&gt;=$M$8,TimeLogTable[[#This Row],[Date]]&lt;=$M$9),"yes","no")</f>
        <v>no</v>
      </c>
    </row>
    <row r="76" spans="1:17">
      <c r="A76" s="20" t="str">
        <f>TEXT(TimeLogTable[[#This Row],[Date]], "yyyy")</f>
        <v>2021</v>
      </c>
      <c r="B76" s="20" t="str">
        <f>TEXT(TimeLogTable[[#This Row],[Date]], "mmm")</f>
        <v>Apr</v>
      </c>
      <c r="C76" s="20" t="str">
        <f>IFERROR(LOOKUP(TimeLogTable[[#This Row],[Date]],Table44[Start Date],Table44[Week Of]),"")</f>
        <v>Week of 04/19/2021</v>
      </c>
      <c r="D76" s="41" t="str">
        <f>TEXT(TimeLogTable[[#This Row],[Date]],"dddd")</f>
        <v>Monday</v>
      </c>
      <c r="E76" s="41" t="str">
        <f>IFERROR(LOOKUP(TimeLogTable[[#This Row],[Start
Time]],Table4[Start Time],Table4[Time of Day]),"")</f>
        <v>Early Morning</v>
      </c>
      <c r="F76" s="41" t="str">
        <f>IFERROR(INDEX(Projects[Productive],MATCH(TimeLogTable[[#This Row],[Task ID]],Projects[Task ID],0)),"")</f>
        <v>Productive Hours</v>
      </c>
      <c r="G76" s="61">
        <v>44305</v>
      </c>
      <c r="H76" s="41" t="s">
        <v>29</v>
      </c>
      <c r="I76" s="42" t="s">
        <v>28</v>
      </c>
      <c r="J76" s="43"/>
      <c r="K76" s="43" t="s">
        <v>59</v>
      </c>
      <c r="L76" s="19">
        <v>0.29166666666666669</v>
      </c>
      <c r="M76" s="19"/>
      <c r="N76" s="19">
        <v>0.32291666666666669</v>
      </c>
      <c r="O76" s="18"/>
      <c r="P76" s="16">
        <f t="shared" si="2"/>
        <v>0.75</v>
      </c>
      <c r="Q76" s="16" t="str">
        <f>IF(AND(TimeLogTable[[#This Row],[Date]]&gt;=$M$8,TimeLogTable[[#This Row],[Date]]&lt;=$M$9),"yes","no")</f>
        <v>no</v>
      </c>
    </row>
    <row r="77" spans="1:17">
      <c r="A77" s="20" t="str">
        <f>TEXT(TimeLogTable[[#This Row],[Date]], "yyyy")</f>
        <v>2021</v>
      </c>
      <c r="B77" s="20" t="str">
        <f>TEXT(TimeLogTable[[#This Row],[Date]], "mmm")</f>
        <v>Apr</v>
      </c>
      <c r="C77" s="20" t="str">
        <f>IFERROR(LOOKUP(TimeLogTable[[#This Row],[Date]],Table44[Start Date],Table44[Week Of]),"")</f>
        <v>Week of 04/19/2021</v>
      </c>
      <c r="D77" s="41" t="str">
        <f>TEXT(TimeLogTable[[#This Row],[Date]],"dddd")</f>
        <v>Tuesday</v>
      </c>
      <c r="E77" s="41" t="str">
        <f>IFERROR(LOOKUP(TimeLogTable[[#This Row],[Start
Time]],Table4[Start Time],Table4[Time of Day]),"")</f>
        <v>Early Morning</v>
      </c>
      <c r="F77" s="41" t="str">
        <f>IFERROR(INDEX(Projects[Productive],MATCH(TimeLogTable[[#This Row],[Task ID]],Projects[Task ID],0)),"")</f>
        <v>Productive Hours</v>
      </c>
      <c r="G77" s="61">
        <v>44306</v>
      </c>
      <c r="H77" s="41" t="s">
        <v>29</v>
      </c>
      <c r="I77" s="42" t="s">
        <v>32</v>
      </c>
      <c r="J77" s="43"/>
      <c r="K77" s="43" t="s">
        <v>58</v>
      </c>
      <c r="L77" s="19">
        <v>0.32291666666666669</v>
      </c>
      <c r="M77" s="19"/>
      <c r="N77" s="19">
        <v>0.33333333333333331</v>
      </c>
      <c r="O77" s="18"/>
      <c r="P77" s="16">
        <f t="shared" si="2"/>
        <v>0.25</v>
      </c>
      <c r="Q77" s="16" t="str">
        <f>IF(AND(TimeLogTable[[#This Row],[Date]]&gt;=$M$8,TimeLogTable[[#This Row],[Date]]&lt;=$M$9),"yes","no")</f>
        <v>no</v>
      </c>
    </row>
    <row r="78" spans="1:17">
      <c r="A78" s="20" t="str">
        <f>TEXT(TimeLogTable[[#This Row],[Date]], "yyyy")</f>
        <v>2021</v>
      </c>
      <c r="B78" s="20" t="str">
        <f>TEXT(TimeLogTable[[#This Row],[Date]], "mmm")</f>
        <v>Apr</v>
      </c>
      <c r="C78" s="20" t="str">
        <f>IFERROR(LOOKUP(TimeLogTable[[#This Row],[Date]],Table44[Start Date],Table44[Week Of]),"")</f>
        <v>Week of 04/19/2021</v>
      </c>
      <c r="D78" s="41" t="str">
        <f>TEXT(TimeLogTable[[#This Row],[Date]],"dddd")</f>
        <v>Wednesday</v>
      </c>
      <c r="E78" s="41" t="str">
        <f>IFERROR(LOOKUP(TimeLogTable[[#This Row],[Start
Time]],Table4[Start Time],Table4[Time of Day]),"")</f>
        <v>Early Morning</v>
      </c>
      <c r="F78" s="41" t="str">
        <f>IFERROR(INDEX(Projects[Productive],MATCH(TimeLogTable[[#This Row],[Task ID]],Projects[Task ID],0)),"")</f>
        <v>Productive Hours</v>
      </c>
      <c r="G78" s="61">
        <v>44307</v>
      </c>
      <c r="H78" s="41" t="s">
        <v>33</v>
      </c>
      <c r="I78" s="42" t="s">
        <v>78</v>
      </c>
      <c r="J78" s="43"/>
      <c r="K78" s="43" t="s">
        <v>60</v>
      </c>
      <c r="L78" s="19">
        <v>0.33333333333333331</v>
      </c>
      <c r="M78" s="19"/>
      <c r="N78" s="19">
        <v>0.34375</v>
      </c>
      <c r="O78" s="18"/>
      <c r="P78" s="16">
        <f t="shared" ref="P78:P109" si="3">O78/60+ROUND(IF((OR(L78="",N78="")),0,IF((N78&lt;L78),((N78-L78)*24)+24,(N78-L78)*24)-M78/60),2)</f>
        <v>0.25</v>
      </c>
      <c r="Q78" s="16" t="str">
        <f>IF(AND(TimeLogTable[[#This Row],[Date]]&gt;=$M$8,TimeLogTable[[#This Row],[Date]]&lt;=$M$9),"yes","no")</f>
        <v>no</v>
      </c>
    </row>
    <row r="79" spans="1:17">
      <c r="A79" s="20" t="str">
        <f>TEXT(TimeLogTable[[#This Row],[Date]], "yyyy")</f>
        <v>2021</v>
      </c>
      <c r="B79" s="20" t="str">
        <f>TEXT(TimeLogTable[[#This Row],[Date]], "mmm")</f>
        <v>Apr</v>
      </c>
      <c r="C79" s="20" t="str">
        <f>IFERROR(LOOKUP(TimeLogTable[[#This Row],[Date]],Table44[Start Date],Table44[Week Of]),"")</f>
        <v>Week of 04/19/2021</v>
      </c>
      <c r="D79" s="41" t="str">
        <f>TEXT(TimeLogTable[[#This Row],[Date]],"dddd")</f>
        <v>Thursday</v>
      </c>
      <c r="E79" s="41" t="str">
        <f>IFERROR(LOOKUP(TimeLogTable[[#This Row],[Start
Time]],Table4[Start Time],Table4[Time of Day]),"")</f>
        <v>Early Morning</v>
      </c>
      <c r="F79" s="41" t="str">
        <f>IFERROR(INDEX(Projects[Productive],MATCH(TimeLogTable[[#This Row],[Task ID]],Projects[Task ID],0)),"")</f>
        <v>Wasted Hours</v>
      </c>
      <c r="G79" s="61">
        <v>44308</v>
      </c>
      <c r="H79" s="41" t="s">
        <v>49</v>
      </c>
      <c r="I79" s="42" t="s">
        <v>50</v>
      </c>
      <c r="J79" s="43"/>
      <c r="K79" s="43" t="s">
        <v>61</v>
      </c>
      <c r="L79" s="19">
        <v>0.34375</v>
      </c>
      <c r="M79" s="19"/>
      <c r="N79" s="19">
        <v>0.375</v>
      </c>
      <c r="O79" s="18"/>
      <c r="P79" s="16">
        <f t="shared" si="3"/>
        <v>0.75</v>
      </c>
      <c r="Q79" s="16" t="str">
        <f>IF(AND(TimeLogTable[[#This Row],[Date]]&gt;=$M$8,TimeLogTable[[#This Row],[Date]]&lt;=$M$9),"yes","no")</f>
        <v>no</v>
      </c>
    </row>
    <row r="80" spans="1:17">
      <c r="A80" s="20" t="str">
        <f>TEXT(TimeLogTable[[#This Row],[Date]], "yyyy")</f>
        <v>2021</v>
      </c>
      <c r="B80" s="20" t="str">
        <f>TEXT(TimeLogTable[[#This Row],[Date]], "mmm")</f>
        <v>Apr</v>
      </c>
      <c r="C80" s="20" t="str">
        <f>IFERROR(LOOKUP(TimeLogTable[[#This Row],[Date]],Table44[Start Date],Table44[Week Of]),"")</f>
        <v>Week of 04/19/2021</v>
      </c>
      <c r="D80" s="41" t="str">
        <f>TEXT(TimeLogTable[[#This Row],[Date]],"dddd")</f>
        <v>Friday</v>
      </c>
      <c r="E80" s="41" t="str">
        <f>IFERROR(LOOKUP(TimeLogTable[[#This Row],[Start
Time]],Table4[Start Time],Table4[Time of Day]),"")</f>
        <v>Morning</v>
      </c>
      <c r="F80" s="41" t="str">
        <f>IFERROR(INDEX(Projects[Productive],MATCH(TimeLogTable[[#This Row],[Task ID]],Projects[Task ID],0)),"")</f>
        <v>Productive Hours</v>
      </c>
      <c r="G80" s="61">
        <v>44309</v>
      </c>
      <c r="H80" s="41" t="s">
        <v>33</v>
      </c>
      <c r="I80" s="42" t="s">
        <v>79</v>
      </c>
      <c r="J80" s="43"/>
      <c r="K80" s="43" t="s">
        <v>62</v>
      </c>
      <c r="L80" s="19">
        <v>0.375</v>
      </c>
      <c r="M80" s="19"/>
      <c r="N80" s="19">
        <v>0.5</v>
      </c>
      <c r="O80" s="18"/>
      <c r="P80" s="16">
        <f t="shared" si="3"/>
        <v>3</v>
      </c>
      <c r="Q80" s="16" t="str">
        <f>IF(AND(TimeLogTable[[#This Row],[Date]]&gt;=$M$8,TimeLogTable[[#This Row],[Date]]&lt;=$M$9),"yes","no")</f>
        <v>no</v>
      </c>
    </row>
    <row r="81" spans="1:17">
      <c r="A81" s="20" t="str">
        <f>TEXT(TimeLogTable[[#This Row],[Date]], "yyyy")</f>
        <v>2021</v>
      </c>
      <c r="B81" s="20" t="str">
        <f>TEXT(TimeLogTable[[#This Row],[Date]], "mmm")</f>
        <v>Apr</v>
      </c>
      <c r="C81" s="20" t="str">
        <f>IFERROR(LOOKUP(TimeLogTable[[#This Row],[Date]],Table44[Start Date],Table44[Week Of]),"")</f>
        <v>Week of 04/19/2021</v>
      </c>
      <c r="D81" s="41" t="str">
        <f>TEXT(TimeLogTable[[#This Row],[Date]],"dddd")</f>
        <v>Saturday</v>
      </c>
      <c r="E81" s="41" t="str">
        <f>IFERROR(LOOKUP(TimeLogTable[[#This Row],[Start
Time]],Table4[Start Time],Table4[Time of Day]),"")</f>
        <v>Afternoon</v>
      </c>
      <c r="F81" s="41" t="str">
        <f>IFERROR(INDEX(Projects[Productive],MATCH(TimeLogTable[[#This Row],[Task ID]],Projects[Task ID],0)),"")</f>
        <v>Wasted Hours</v>
      </c>
      <c r="G81" s="61">
        <v>44310</v>
      </c>
      <c r="H81" s="41" t="s">
        <v>38</v>
      </c>
      <c r="I81" s="42" t="s">
        <v>39</v>
      </c>
      <c r="J81" s="43"/>
      <c r="K81" s="43" t="s">
        <v>63</v>
      </c>
      <c r="L81" s="19">
        <v>0.5</v>
      </c>
      <c r="M81" s="19"/>
      <c r="N81" s="19">
        <v>0.625</v>
      </c>
      <c r="O81" s="18"/>
      <c r="P81" s="16">
        <f t="shared" si="3"/>
        <v>3</v>
      </c>
      <c r="Q81" s="16" t="str">
        <f>IF(AND(TimeLogTable[[#This Row],[Date]]&gt;=$M$8,TimeLogTable[[#This Row],[Date]]&lt;=$M$9),"yes","no")</f>
        <v>no</v>
      </c>
    </row>
    <row r="82" spans="1:17">
      <c r="A82" s="20" t="str">
        <f>TEXT(TimeLogTable[[#This Row],[Date]], "yyyy")</f>
        <v>2021</v>
      </c>
      <c r="B82" s="20" t="str">
        <f>TEXT(TimeLogTable[[#This Row],[Date]], "mmm")</f>
        <v>Apr</v>
      </c>
      <c r="C82" s="20" t="str">
        <f>IFERROR(LOOKUP(TimeLogTable[[#This Row],[Date]],Table44[Start Date],Table44[Week Of]),"")</f>
        <v>Week of 04/19/2021</v>
      </c>
      <c r="D82" s="41" t="str">
        <f>TEXT(TimeLogTable[[#This Row],[Date]],"dddd")</f>
        <v>Sunday</v>
      </c>
      <c r="E82" s="41" t="str">
        <f>IFERROR(LOOKUP(TimeLogTable[[#This Row],[Start
Time]],Table4[Start Time],Table4[Time of Day]),"")</f>
        <v>Afternoon</v>
      </c>
      <c r="F82" s="41" t="str">
        <f>IFERROR(INDEX(Projects[Productive],MATCH(TimeLogTable[[#This Row],[Task ID]],Projects[Task ID],0)),"")</f>
        <v>Productive Hours</v>
      </c>
      <c r="G82" s="61">
        <v>44311</v>
      </c>
      <c r="H82" s="41" t="s">
        <v>33</v>
      </c>
      <c r="I82" s="42" t="s">
        <v>79</v>
      </c>
      <c r="J82" s="43"/>
      <c r="K82" s="43" t="s">
        <v>64</v>
      </c>
      <c r="L82" s="19">
        <v>0.625</v>
      </c>
      <c r="M82" s="19"/>
      <c r="N82" s="19">
        <v>0.75</v>
      </c>
      <c r="O82" s="18"/>
      <c r="P82" s="16">
        <f t="shared" si="3"/>
        <v>3</v>
      </c>
      <c r="Q82" s="16" t="str">
        <f>IF(AND(TimeLogTable[[#This Row],[Date]]&gt;=$M$8,TimeLogTable[[#This Row],[Date]]&lt;=$M$9),"yes","no")</f>
        <v>no</v>
      </c>
    </row>
    <row r="83" spans="1:17">
      <c r="A83" s="20" t="str">
        <f>TEXT(TimeLogTable[[#This Row],[Date]], "yyyy")</f>
        <v>2021</v>
      </c>
      <c r="B83" s="20" t="str">
        <f>TEXT(TimeLogTable[[#This Row],[Date]], "mmm")</f>
        <v>Apr</v>
      </c>
      <c r="C83" s="20" t="str">
        <f>IFERROR(LOOKUP(TimeLogTable[[#This Row],[Date]],Table44[Start Date],Table44[Week Of]),"")</f>
        <v>Week of 04/26/2021</v>
      </c>
      <c r="D83" s="41" t="str">
        <f>TEXT(TimeLogTable[[#This Row],[Date]],"dddd")</f>
        <v>Monday</v>
      </c>
      <c r="E83" s="41" t="str">
        <f>IFERROR(LOOKUP(TimeLogTable[[#This Row],[Start
Time]],Table4[Start Time],Table4[Time of Day]),"")</f>
        <v>Evening</v>
      </c>
      <c r="F83" s="41" t="str">
        <f>IFERROR(INDEX(Projects[Productive],MATCH(TimeLogTable[[#This Row],[Task ID]],Projects[Task ID],0)),"")</f>
        <v>Wasted Hours</v>
      </c>
      <c r="G83" s="61">
        <v>44312</v>
      </c>
      <c r="H83" s="41" t="s">
        <v>49</v>
      </c>
      <c r="I83" s="42" t="s">
        <v>50</v>
      </c>
      <c r="J83" s="43"/>
      <c r="K83" s="43" t="s">
        <v>65</v>
      </c>
      <c r="L83" s="19">
        <v>0.75</v>
      </c>
      <c r="M83" s="19"/>
      <c r="N83" s="19">
        <v>0.79166666666666663</v>
      </c>
      <c r="O83" s="18"/>
      <c r="P83" s="16">
        <f t="shared" si="3"/>
        <v>1</v>
      </c>
      <c r="Q83" s="16" t="str">
        <f>IF(AND(TimeLogTable[[#This Row],[Date]]&gt;=$M$8,TimeLogTable[[#This Row],[Date]]&lt;=$M$9),"yes","no")</f>
        <v>no</v>
      </c>
    </row>
    <row r="84" spans="1:17">
      <c r="A84" s="20" t="str">
        <f>TEXT(TimeLogTable[[#This Row],[Date]], "yyyy")</f>
        <v>2021</v>
      </c>
      <c r="B84" s="20" t="str">
        <f>TEXT(TimeLogTable[[#This Row],[Date]], "mmm")</f>
        <v>Apr</v>
      </c>
      <c r="C84" s="20" t="str">
        <f>IFERROR(LOOKUP(TimeLogTable[[#This Row],[Date]],Table44[Start Date],Table44[Week Of]),"")</f>
        <v>Week of 04/26/2021</v>
      </c>
      <c r="D84" s="41" t="str">
        <f>TEXT(TimeLogTable[[#This Row],[Date]],"dddd")</f>
        <v>Tuesday</v>
      </c>
      <c r="E84" s="41" t="str">
        <f>IFERROR(LOOKUP(TimeLogTable[[#This Row],[Start
Time]],Table4[Start Time],Table4[Time of Day]),"")</f>
        <v>Evening</v>
      </c>
      <c r="F84" s="41" t="str">
        <f>IFERROR(INDEX(Projects[Productive],MATCH(TimeLogTable[[#This Row],[Task ID]],Projects[Task ID],0)),"")</f>
        <v>Wasted Hours</v>
      </c>
      <c r="G84" s="61">
        <v>44313</v>
      </c>
      <c r="H84" s="41" t="s">
        <v>26</v>
      </c>
      <c r="I84" s="42" t="s">
        <v>56</v>
      </c>
      <c r="J84" s="43"/>
      <c r="K84" s="43" t="s">
        <v>57</v>
      </c>
      <c r="L84" s="19">
        <v>0.79166666666666663</v>
      </c>
      <c r="M84" s="19"/>
      <c r="N84" s="19">
        <v>0.875</v>
      </c>
      <c r="O84" s="18"/>
      <c r="P84" s="16">
        <f t="shared" si="3"/>
        <v>2</v>
      </c>
      <c r="Q84" s="16" t="str">
        <f>IF(AND(TimeLogTable[[#This Row],[Date]]&gt;=$M$8,TimeLogTable[[#This Row],[Date]]&lt;=$M$9),"yes","no")</f>
        <v>no</v>
      </c>
    </row>
    <row r="85" spans="1:17">
      <c r="A85" s="20" t="str">
        <f>TEXT(TimeLogTable[[#This Row],[Date]], "yyyy")</f>
        <v>2021</v>
      </c>
      <c r="B85" s="20" t="str">
        <f>TEXT(TimeLogTable[[#This Row],[Date]], "mmm")</f>
        <v>Apr</v>
      </c>
      <c r="C85" s="20" t="str">
        <f>IFERROR(LOOKUP(TimeLogTable[[#This Row],[Date]],Table44[Start Date],Table44[Week Of]),"")</f>
        <v>Week of 04/26/2021</v>
      </c>
      <c r="D85" s="41" t="str">
        <f>TEXT(TimeLogTable[[#This Row],[Date]],"dddd")</f>
        <v>Wednesday</v>
      </c>
      <c r="E85" s="41" t="str">
        <f>IFERROR(LOOKUP(TimeLogTable[[#This Row],[Start
Time]],Table4[Start Time],Table4[Time of Day]),"")</f>
        <v>Late Evening</v>
      </c>
      <c r="F85" s="41" t="str">
        <f>IFERROR(INDEX(Projects[Productive],MATCH(TimeLogTable[[#This Row],[Task ID]],Projects[Task ID],0)),"")</f>
        <v>Productive Hours</v>
      </c>
      <c r="G85" s="61">
        <v>44314</v>
      </c>
      <c r="H85" s="41" t="s">
        <v>107</v>
      </c>
      <c r="I85" s="42" t="s">
        <v>45</v>
      </c>
      <c r="J85" s="43"/>
      <c r="K85" s="42"/>
      <c r="L85" s="19">
        <v>0.875</v>
      </c>
      <c r="M85" s="19"/>
      <c r="N85" s="19">
        <v>0.25</v>
      </c>
      <c r="O85" s="18"/>
      <c r="P85" s="16">
        <f t="shared" si="3"/>
        <v>9</v>
      </c>
      <c r="Q85" s="16" t="str">
        <f>IF(AND(TimeLogTable[[#This Row],[Date]]&gt;=$M$8,TimeLogTable[[#This Row],[Date]]&lt;=$M$9),"yes","no")</f>
        <v>no</v>
      </c>
    </row>
    <row r="86" spans="1:17">
      <c r="A86" s="20" t="str">
        <f>TEXT(TimeLogTable[[#This Row],[Date]], "yyyy")</f>
        <v>2021</v>
      </c>
      <c r="B86" s="20" t="str">
        <f>TEXT(TimeLogTable[[#This Row],[Date]], "mmm")</f>
        <v>Apr</v>
      </c>
      <c r="C86" s="20" t="str">
        <f>IFERROR(LOOKUP(TimeLogTable[[#This Row],[Date]],Table44[Start Date],Table44[Week Of]),"")</f>
        <v>Week of 04/26/2021</v>
      </c>
      <c r="D86" s="41" t="str">
        <f>TEXT(TimeLogTable[[#This Row],[Date]],"dddd")</f>
        <v>Thursday</v>
      </c>
      <c r="E86" s="41" t="str">
        <f>IFERROR(LOOKUP(TimeLogTable[[#This Row],[Start
Time]],Table4[Start Time],Table4[Time of Day]),"")</f>
        <v>Afternoon</v>
      </c>
      <c r="F86" s="41" t="str">
        <f>IFERROR(INDEX(Projects[Productive],MATCH(TimeLogTable[[#This Row],[Task ID]],Projects[Task ID],0)),"")</f>
        <v>Wasted Hours</v>
      </c>
      <c r="G86" s="61">
        <v>44315</v>
      </c>
      <c r="H86" s="41" t="s">
        <v>49</v>
      </c>
      <c r="I86" s="42" t="s">
        <v>50</v>
      </c>
      <c r="J86" s="43"/>
      <c r="K86" s="43" t="s">
        <v>52</v>
      </c>
      <c r="L86" s="19">
        <v>0.70416666666666661</v>
      </c>
      <c r="M86" s="19"/>
      <c r="N86" s="19">
        <v>0.72499999999999998</v>
      </c>
      <c r="O86" s="18"/>
      <c r="P86" s="16">
        <f t="shared" si="3"/>
        <v>0.5</v>
      </c>
      <c r="Q86" s="16" t="str">
        <f>IF(AND(TimeLogTable[[#This Row],[Date]]&gt;=$M$8,TimeLogTable[[#This Row],[Date]]&lt;=$M$9),"yes","no")</f>
        <v>no</v>
      </c>
    </row>
    <row r="87" spans="1:17">
      <c r="A87" s="20" t="str">
        <f>TEXT(TimeLogTable[[#This Row],[Date]], "yyyy")</f>
        <v>2021</v>
      </c>
      <c r="B87" s="20" t="str">
        <f>TEXT(TimeLogTable[[#This Row],[Date]], "mmm")</f>
        <v>Apr</v>
      </c>
      <c r="C87" s="20" t="str">
        <f>IFERROR(LOOKUP(TimeLogTable[[#This Row],[Date]],Table44[Start Date],Table44[Week Of]),"")</f>
        <v>Week of 04/26/2021</v>
      </c>
      <c r="D87" s="41" t="str">
        <f>TEXT(TimeLogTable[[#This Row],[Date]],"dddd")</f>
        <v>Friday</v>
      </c>
      <c r="E87" s="41" t="str">
        <f>IFERROR(LOOKUP(TimeLogTable[[#This Row],[Start
Time]],Table4[Start Time],Table4[Time of Day]),"")</f>
        <v>Afternoon</v>
      </c>
      <c r="F87" s="41" t="str">
        <f>IFERROR(INDEX(Projects[Productive],MATCH(TimeLogTable[[#This Row],[Task ID]],Projects[Task ID],0)),"")</f>
        <v>Productive Hours</v>
      </c>
      <c r="G87" s="61">
        <v>44316</v>
      </c>
      <c r="H87" s="41" t="s">
        <v>33</v>
      </c>
      <c r="I87" s="42" t="s">
        <v>78</v>
      </c>
      <c r="J87" s="43"/>
      <c r="K87" s="43" t="s">
        <v>53</v>
      </c>
      <c r="L87" s="19">
        <v>0.72499999999999998</v>
      </c>
      <c r="M87" s="19"/>
      <c r="N87" s="39">
        <v>0.91666666666666663</v>
      </c>
      <c r="O87" s="18"/>
      <c r="P87" s="16">
        <f t="shared" si="3"/>
        <v>4.5999999999999996</v>
      </c>
      <c r="Q87" s="16" t="str">
        <f>IF(AND(TimeLogTable[[#This Row],[Date]]&gt;=$M$8,TimeLogTable[[#This Row],[Date]]&lt;=$M$9),"yes","no")</f>
        <v>no</v>
      </c>
    </row>
    <row r="88" spans="1:17">
      <c r="A88" s="20" t="str">
        <f>TEXT(TimeLogTable[[#This Row],[Date]], "yyyy")</f>
        <v>2021</v>
      </c>
      <c r="B88" s="20" t="str">
        <f>TEXT(TimeLogTable[[#This Row],[Date]], "mmm")</f>
        <v>May</v>
      </c>
      <c r="C88" s="20" t="str">
        <f>IFERROR(LOOKUP(TimeLogTable[[#This Row],[Date]],Table44[Start Date],Table44[Week Of]),"")</f>
        <v>Week of 04/26/2021</v>
      </c>
      <c r="D88" s="41" t="str">
        <f>TEXT(TimeLogTable[[#This Row],[Date]],"dddd")</f>
        <v>Saturday</v>
      </c>
      <c r="E88" s="41" t="str">
        <f>IFERROR(LOOKUP(TimeLogTable[[#This Row],[Start
Time]],Table4[Start Time],Table4[Time of Day]),"")</f>
        <v>Late Evening</v>
      </c>
      <c r="F88" s="41" t="str">
        <f>IFERROR(INDEX(Projects[Productive],MATCH(TimeLogTable[[#This Row],[Task ID]],Projects[Task ID],0)),"")</f>
        <v>Wasted Hours</v>
      </c>
      <c r="G88" s="61">
        <v>44317</v>
      </c>
      <c r="H88" s="41" t="s">
        <v>49</v>
      </c>
      <c r="I88" s="42" t="s">
        <v>50</v>
      </c>
      <c r="J88" s="43"/>
      <c r="K88" s="43" t="s">
        <v>54</v>
      </c>
      <c r="L88" s="39">
        <v>0.91666666666666663</v>
      </c>
      <c r="M88" s="19"/>
      <c r="N88" s="19">
        <v>0.9375</v>
      </c>
      <c r="O88" s="18"/>
      <c r="P88" s="16">
        <f t="shared" si="3"/>
        <v>0.5</v>
      </c>
      <c r="Q88" s="16" t="str">
        <f>IF(AND(TimeLogTable[[#This Row],[Date]]&gt;=$M$8,TimeLogTable[[#This Row],[Date]]&lt;=$M$9),"yes","no")</f>
        <v>no</v>
      </c>
    </row>
    <row r="89" spans="1:17">
      <c r="A89" s="20" t="str">
        <f>TEXT(TimeLogTable[[#This Row],[Date]], "yyyy")</f>
        <v>2021</v>
      </c>
      <c r="B89" s="20" t="str">
        <f>TEXT(TimeLogTable[[#This Row],[Date]], "mmm")</f>
        <v>May</v>
      </c>
      <c r="C89" s="20" t="str">
        <f>IFERROR(LOOKUP(TimeLogTable[[#This Row],[Date]],Table44[Start Date],Table44[Week Of]),"")</f>
        <v>Week of 04/26/2021</v>
      </c>
      <c r="D89" s="41" t="str">
        <f>TEXT(TimeLogTable[[#This Row],[Date]],"dddd")</f>
        <v>Sunday</v>
      </c>
      <c r="E89" s="41" t="str">
        <f>IFERROR(LOOKUP(TimeLogTable[[#This Row],[Start
Time]],Table4[Start Time],Table4[Time of Day]),"")</f>
        <v>Late Evening</v>
      </c>
      <c r="F89" s="41" t="str">
        <f>IFERROR(INDEX(Projects[Productive],MATCH(TimeLogTable[[#This Row],[Task ID]],Projects[Task ID],0)),"")</f>
        <v>Productive Hours</v>
      </c>
      <c r="G89" s="61">
        <v>44318</v>
      </c>
      <c r="H89" s="41" t="s">
        <v>107</v>
      </c>
      <c r="I89" s="42" t="s">
        <v>45</v>
      </c>
      <c r="J89" s="43"/>
      <c r="K89" s="42"/>
      <c r="L89" s="19">
        <v>0.9375</v>
      </c>
      <c r="M89" s="19"/>
      <c r="N89" s="22">
        <v>0.25</v>
      </c>
      <c r="O89" s="18"/>
      <c r="P89" s="16">
        <f t="shared" si="3"/>
        <v>7.5</v>
      </c>
      <c r="Q89" s="16" t="str">
        <f>IF(AND(TimeLogTable[[#This Row],[Date]]&gt;=$M$8,TimeLogTable[[#This Row],[Date]]&lt;=$M$9),"yes","no")</f>
        <v>no</v>
      </c>
    </row>
    <row r="90" spans="1:17">
      <c r="A90" s="20" t="str">
        <f>TEXT(TimeLogTable[[#This Row],[Date]], "yyyy")</f>
        <v>2021</v>
      </c>
      <c r="B90" s="20" t="str">
        <f>TEXT(TimeLogTable[[#This Row],[Date]], "mmm")</f>
        <v>May</v>
      </c>
      <c r="C90" s="20" t="str">
        <f>IFERROR(LOOKUP(TimeLogTable[[#This Row],[Date]],Table44[Start Date],Table44[Week Of]),"")</f>
        <v>Week of 05/03/2021</v>
      </c>
      <c r="D90" s="41" t="str">
        <f>TEXT(TimeLogTable[[#This Row],[Date]],"dddd")</f>
        <v>Monday</v>
      </c>
      <c r="E90" s="41" t="str">
        <f>IFERROR(LOOKUP(TimeLogTable[[#This Row],[Start
Time]],Table4[Start Time],Table4[Time of Day]),"")</f>
        <v>Early Morning</v>
      </c>
      <c r="F90" s="41" t="str">
        <f>IFERROR(INDEX(Projects[Productive],MATCH(TimeLogTable[[#This Row],[Task ID]],Projects[Task ID],0)),"")</f>
        <v>Productive Hours</v>
      </c>
      <c r="G90" s="61">
        <v>44319</v>
      </c>
      <c r="H90" s="41" t="s">
        <v>29</v>
      </c>
      <c r="I90" s="42" t="s">
        <v>28</v>
      </c>
      <c r="J90" s="43"/>
      <c r="K90" s="43" t="s">
        <v>59</v>
      </c>
      <c r="L90" s="19">
        <v>0.29166666666666669</v>
      </c>
      <c r="M90" s="19"/>
      <c r="N90" s="19">
        <v>0.32291666666666669</v>
      </c>
      <c r="O90" s="18"/>
      <c r="P90" s="16">
        <f t="shared" si="3"/>
        <v>0.75</v>
      </c>
      <c r="Q90" s="16" t="str">
        <f>IF(AND(TimeLogTable[[#This Row],[Date]]&gt;=$M$8,TimeLogTable[[#This Row],[Date]]&lt;=$M$9),"yes","no")</f>
        <v>no</v>
      </c>
    </row>
    <row r="91" spans="1:17">
      <c r="A91" s="20" t="str">
        <f>TEXT(TimeLogTable[[#This Row],[Date]], "yyyy")</f>
        <v>2021</v>
      </c>
      <c r="B91" s="20" t="str">
        <f>TEXT(TimeLogTable[[#This Row],[Date]], "mmm")</f>
        <v>May</v>
      </c>
      <c r="C91" s="20" t="str">
        <f>IFERROR(LOOKUP(TimeLogTable[[#This Row],[Date]],Table44[Start Date],Table44[Week Of]),"")</f>
        <v>Week of 05/03/2021</v>
      </c>
      <c r="D91" s="41" t="str">
        <f>TEXT(TimeLogTable[[#This Row],[Date]],"dddd")</f>
        <v>Tuesday</v>
      </c>
      <c r="E91" s="41" t="str">
        <f>IFERROR(LOOKUP(TimeLogTable[[#This Row],[Start
Time]],Table4[Start Time],Table4[Time of Day]),"")</f>
        <v>Early Morning</v>
      </c>
      <c r="F91" s="41" t="str">
        <f>IFERROR(INDEX(Projects[Productive],MATCH(TimeLogTable[[#This Row],[Task ID]],Projects[Task ID],0)),"")</f>
        <v>Productive Hours</v>
      </c>
      <c r="G91" s="61">
        <v>44320</v>
      </c>
      <c r="H91" s="41" t="s">
        <v>29</v>
      </c>
      <c r="I91" s="42" t="s">
        <v>32</v>
      </c>
      <c r="J91" s="43"/>
      <c r="K91" s="43" t="s">
        <v>58</v>
      </c>
      <c r="L91" s="19">
        <v>0.32291666666666669</v>
      </c>
      <c r="M91" s="19"/>
      <c r="N91" s="19">
        <v>0.33333333333333331</v>
      </c>
      <c r="O91" s="18"/>
      <c r="P91" s="16">
        <f t="shared" si="3"/>
        <v>0.25</v>
      </c>
      <c r="Q91" s="16" t="str">
        <f>IF(AND(TimeLogTable[[#This Row],[Date]]&gt;=$M$8,TimeLogTable[[#This Row],[Date]]&lt;=$M$9),"yes","no")</f>
        <v>no</v>
      </c>
    </row>
    <row r="92" spans="1:17">
      <c r="A92" s="20" t="str">
        <f>TEXT(TimeLogTable[[#This Row],[Date]], "yyyy")</f>
        <v>2021</v>
      </c>
      <c r="B92" s="20" t="str">
        <f>TEXT(TimeLogTable[[#This Row],[Date]], "mmm")</f>
        <v>May</v>
      </c>
      <c r="C92" s="20" t="str">
        <f>IFERROR(LOOKUP(TimeLogTable[[#This Row],[Date]],Table44[Start Date],Table44[Week Of]),"")</f>
        <v>Week of 05/03/2021</v>
      </c>
      <c r="D92" s="41" t="str">
        <f>TEXT(TimeLogTable[[#This Row],[Date]],"dddd")</f>
        <v>Wednesday</v>
      </c>
      <c r="E92" s="41" t="str">
        <f>IFERROR(LOOKUP(TimeLogTable[[#This Row],[Start
Time]],Table4[Start Time],Table4[Time of Day]),"")</f>
        <v>Early Morning</v>
      </c>
      <c r="F92" s="41" t="str">
        <f>IFERROR(INDEX(Projects[Productive],MATCH(TimeLogTable[[#This Row],[Task ID]],Projects[Task ID],0)),"")</f>
        <v>Productive Hours</v>
      </c>
      <c r="G92" s="61">
        <v>44321</v>
      </c>
      <c r="H92" s="41" t="s">
        <v>33</v>
      </c>
      <c r="I92" s="42" t="s">
        <v>78</v>
      </c>
      <c r="J92" s="43"/>
      <c r="K92" s="43" t="s">
        <v>60</v>
      </c>
      <c r="L92" s="19">
        <v>0.33333333333333331</v>
      </c>
      <c r="M92" s="19"/>
      <c r="N92" s="19">
        <v>0.34375</v>
      </c>
      <c r="O92" s="18"/>
      <c r="P92" s="16">
        <f t="shared" si="3"/>
        <v>0.25</v>
      </c>
      <c r="Q92" s="16" t="str">
        <f>IF(AND(TimeLogTable[[#This Row],[Date]]&gt;=$M$8,TimeLogTable[[#This Row],[Date]]&lt;=$M$9),"yes","no")</f>
        <v>no</v>
      </c>
    </row>
    <row r="93" spans="1:17">
      <c r="A93" s="20" t="str">
        <f>TEXT(TimeLogTable[[#This Row],[Date]], "yyyy")</f>
        <v>2021</v>
      </c>
      <c r="B93" s="20" t="str">
        <f>TEXT(TimeLogTable[[#This Row],[Date]], "mmm")</f>
        <v>May</v>
      </c>
      <c r="C93" s="20" t="str">
        <f>IFERROR(LOOKUP(TimeLogTable[[#This Row],[Date]],Table44[Start Date],Table44[Week Of]),"")</f>
        <v>Week of 05/03/2021</v>
      </c>
      <c r="D93" s="41" t="str">
        <f>TEXT(TimeLogTable[[#This Row],[Date]],"dddd")</f>
        <v>Thursday</v>
      </c>
      <c r="E93" s="41" t="str">
        <f>IFERROR(LOOKUP(TimeLogTable[[#This Row],[Start
Time]],Table4[Start Time],Table4[Time of Day]),"")</f>
        <v>Early Morning</v>
      </c>
      <c r="F93" s="41" t="str">
        <f>IFERROR(INDEX(Projects[Productive],MATCH(TimeLogTable[[#This Row],[Task ID]],Projects[Task ID],0)),"")</f>
        <v>Wasted Hours</v>
      </c>
      <c r="G93" s="61">
        <v>44322</v>
      </c>
      <c r="H93" s="41" t="s">
        <v>49</v>
      </c>
      <c r="I93" s="42" t="s">
        <v>50</v>
      </c>
      <c r="J93" s="43"/>
      <c r="K93" s="43" t="s">
        <v>61</v>
      </c>
      <c r="L93" s="19">
        <v>0.34375</v>
      </c>
      <c r="M93" s="19"/>
      <c r="N93" s="19">
        <v>0.375</v>
      </c>
      <c r="O93" s="18"/>
      <c r="P93" s="16">
        <f t="shared" si="3"/>
        <v>0.75</v>
      </c>
      <c r="Q93" s="16" t="str">
        <f>IF(AND(TimeLogTable[[#This Row],[Date]]&gt;=$M$8,TimeLogTable[[#This Row],[Date]]&lt;=$M$9),"yes","no")</f>
        <v>no</v>
      </c>
    </row>
    <row r="94" spans="1:17">
      <c r="A94" s="20" t="str">
        <f>TEXT(TimeLogTable[[#This Row],[Date]], "yyyy")</f>
        <v>2021</v>
      </c>
      <c r="B94" s="20" t="str">
        <f>TEXT(TimeLogTable[[#This Row],[Date]], "mmm")</f>
        <v>May</v>
      </c>
      <c r="C94" s="20" t="str">
        <f>IFERROR(LOOKUP(TimeLogTable[[#This Row],[Date]],Table44[Start Date],Table44[Week Of]),"")</f>
        <v>Week of 05/03/2021</v>
      </c>
      <c r="D94" s="41" t="str">
        <f>TEXT(TimeLogTable[[#This Row],[Date]],"dddd")</f>
        <v>Friday</v>
      </c>
      <c r="E94" s="41" t="str">
        <f>IFERROR(LOOKUP(TimeLogTable[[#This Row],[Start
Time]],Table4[Start Time],Table4[Time of Day]),"")</f>
        <v>Morning</v>
      </c>
      <c r="F94" s="41" t="str">
        <f>IFERROR(INDEX(Projects[Productive],MATCH(TimeLogTable[[#This Row],[Task ID]],Projects[Task ID],0)),"")</f>
        <v>Productive Hours</v>
      </c>
      <c r="G94" s="61">
        <v>44323</v>
      </c>
      <c r="H94" s="41" t="s">
        <v>33</v>
      </c>
      <c r="I94" s="42" t="s">
        <v>79</v>
      </c>
      <c r="J94" s="43"/>
      <c r="K94" s="43" t="s">
        <v>62</v>
      </c>
      <c r="L94" s="19">
        <v>0.375</v>
      </c>
      <c r="M94" s="19"/>
      <c r="N94" s="19">
        <v>0.5</v>
      </c>
      <c r="O94" s="18"/>
      <c r="P94" s="16">
        <f t="shared" si="3"/>
        <v>3</v>
      </c>
      <c r="Q94" s="16" t="str">
        <f>IF(AND(TimeLogTable[[#This Row],[Date]]&gt;=$M$8,TimeLogTable[[#This Row],[Date]]&lt;=$M$9),"yes","no")</f>
        <v>no</v>
      </c>
    </row>
    <row r="95" spans="1:17">
      <c r="A95" s="20" t="str">
        <f>TEXT(TimeLogTable[[#This Row],[Date]], "yyyy")</f>
        <v>2021</v>
      </c>
      <c r="B95" s="20" t="str">
        <f>TEXT(TimeLogTable[[#This Row],[Date]], "mmm")</f>
        <v>May</v>
      </c>
      <c r="C95" s="20" t="str">
        <f>IFERROR(LOOKUP(TimeLogTable[[#This Row],[Date]],Table44[Start Date],Table44[Week Of]),"")</f>
        <v>Week of 05/03/2021</v>
      </c>
      <c r="D95" s="41" t="str">
        <f>TEXT(TimeLogTable[[#This Row],[Date]],"dddd")</f>
        <v>Saturday</v>
      </c>
      <c r="E95" s="41" t="str">
        <f>IFERROR(LOOKUP(TimeLogTable[[#This Row],[Start
Time]],Table4[Start Time],Table4[Time of Day]),"")</f>
        <v>Afternoon</v>
      </c>
      <c r="F95" s="41" t="str">
        <f>IFERROR(INDEX(Projects[Productive],MATCH(TimeLogTable[[#This Row],[Task ID]],Projects[Task ID],0)),"")</f>
        <v>Wasted Hours</v>
      </c>
      <c r="G95" s="61">
        <v>44324</v>
      </c>
      <c r="H95" s="41" t="s">
        <v>38</v>
      </c>
      <c r="I95" s="42" t="s">
        <v>39</v>
      </c>
      <c r="J95" s="43"/>
      <c r="K95" s="43" t="s">
        <v>63</v>
      </c>
      <c r="L95" s="19">
        <v>0.5</v>
      </c>
      <c r="M95" s="19"/>
      <c r="N95" s="19">
        <v>0.625</v>
      </c>
      <c r="O95" s="18"/>
      <c r="P95" s="16">
        <f t="shared" si="3"/>
        <v>3</v>
      </c>
      <c r="Q95" s="16" t="str">
        <f>IF(AND(TimeLogTable[[#This Row],[Date]]&gt;=$M$8,TimeLogTable[[#This Row],[Date]]&lt;=$M$9),"yes","no")</f>
        <v>no</v>
      </c>
    </row>
    <row r="96" spans="1:17">
      <c r="A96" s="20" t="str">
        <f>TEXT(TimeLogTable[[#This Row],[Date]], "yyyy")</f>
        <v>2021</v>
      </c>
      <c r="B96" s="20" t="str">
        <f>TEXT(TimeLogTable[[#This Row],[Date]], "mmm")</f>
        <v>May</v>
      </c>
      <c r="C96" s="20" t="str">
        <f>IFERROR(LOOKUP(TimeLogTable[[#This Row],[Date]],Table44[Start Date],Table44[Week Of]),"")</f>
        <v>Week of 05/03/2021</v>
      </c>
      <c r="D96" s="41" t="str">
        <f>TEXT(TimeLogTable[[#This Row],[Date]],"dddd")</f>
        <v>Sunday</v>
      </c>
      <c r="E96" s="41" t="str">
        <f>IFERROR(LOOKUP(TimeLogTable[[#This Row],[Start
Time]],Table4[Start Time],Table4[Time of Day]),"")</f>
        <v>Afternoon</v>
      </c>
      <c r="F96" s="41" t="str">
        <f>IFERROR(INDEX(Projects[Productive],MATCH(TimeLogTable[[#This Row],[Task ID]],Projects[Task ID],0)),"")</f>
        <v>Productive Hours</v>
      </c>
      <c r="G96" s="61">
        <v>44325</v>
      </c>
      <c r="H96" s="41" t="s">
        <v>33</v>
      </c>
      <c r="I96" s="42" t="s">
        <v>79</v>
      </c>
      <c r="J96" s="43"/>
      <c r="K96" s="43" t="s">
        <v>64</v>
      </c>
      <c r="L96" s="19">
        <v>0.625</v>
      </c>
      <c r="M96" s="19"/>
      <c r="N96" s="19">
        <v>0.75</v>
      </c>
      <c r="O96" s="18"/>
      <c r="P96" s="16">
        <f t="shared" si="3"/>
        <v>3</v>
      </c>
      <c r="Q96" s="16" t="str">
        <f>IF(AND(TimeLogTable[[#This Row],[Date]]&gt;=$M$8,TimeLogTable[[#This Row],[Date]]&lt;=$M$9),"yes","no")</f>
        <v>no</v>
      </c>
    </row>
    <row r="97" spans="1:17">
      <c r="A97" s="20" t="str">
        <f>TEXT(TimeLogTable[[#This Row],[Date]], "yyyy")</f>
        <v>2021</v>
      </c>
      <c r="B97" s="20" t="str">
        <f>TEXT(TimeLogTable[[#This Row],[Date]], "mmm")</f>
        <v>May</v>
      </c>
      <c r="C97" s="20" t="str">
        <f>IFERROR(LOOKUP(TimeLogTable[[#This Row],[Date]],Table44[Start Date],Table44[Week Of]),"")</f>
        <v>Week of 05/10/2021</v>
      </c>
      <c r="D97" s="41" t="str">
        <f>TEXT(TimeLogTable[[#This Row],[Date]],"dddd")</f>
        <v>Monday</v>
      </c>
      <c r="E97" s="41" t="str">
        <f>IFERROR(LOOKUP(TimeLogTable[[#This Row],[Start
Time]],Table4[Start Time],Table4[Time of Day]),"")</f>
        <v>Evening</v>
      </c>
      <c r="F97" s="41" t="str">
        <f>IFERROR(INDEX(Projects[Productive],MATCH(TimeLogTable[[#This Row],[Task ID]],Projects[Task ID],0)),"")</f>
        <v>Wasted Hours</v>
      </c>
      <c r="G97" s="61">
        <v>44326</v>
      </c>
      <c r="H97" s="41" t="s">
        <v>49</v>
      </c>
      <c r="I97" s="42" t="s">
        <v>50</v>
      </c>
      <c r="J97" s="43"/>
      <c r="K97" s="43" t="s">
        <v>65</v>
      </c>
      <c r="L97" s="19">
        <v>0.75</v>
      </c>
      <c r="M97" s="19"/>
      <c r="N97" s="19">
        <v>0.79166666666666663</v>
      </c>
      <c r="O97" s="18"/>
      <c r="P97" s="16">
        <f t="shared" si="3"/>
        <v>1</v>
      </c>
      <c r="Q97" s="16" t="str">
        <f>IF(AND(TimeLogTable[[#This Row],[Date]]&gt;=$M$8,TimeLogTable[[#This Row],[Date]]&lt;=$M$9),"yes","no")</f>
        <v>no</v>
      </c>
    </row>
    <row r="98" spans="1:17">
      <c r="A98" s="20" t="str">
        <f>TEXT(TimeLogTable[[#This Row],[Date]], "yyyy")</f>
        <v>2021</v>
      </c>
      <c r="B98" s="20" t="str">
        <f>TEXT(TimeLogTable[[#This Row],[Date]], "mmm")</f>
        <v>May</v>
      </c>
      <c r="C98" s="20" t="str">
        <f>IFERROR(LOOKUP(TimeLogTable[[#This Row],[Date]],Table44[Start Date],Table44[Week Of]),"")</f>
        <v>Week of 05/10/2021</v>
      </c>
      <c r="D98" s="41" t="str">
        <f>TEXT(TimeLogTable[[#This Row],[Date]],"dddd")</f>
        <v>Tuesday</v>
      </c>
      <c r="E98" s="41" t="str">
        <f>IFERROR(LOOKUP(TimeLogTable[[#This Row],[Start
Time]],Table4[Start Time],Table4[Time of Day]),"")</f>
        <v>Evening</v>
      </c>
      <c r="F98" s="41" t="str">
        <f>IFERROR(INDEX(Projects[Productive],MATCH(TimeLogTable[[#This Row],[Task ID]],Projects[Task ID],0)),"")</f>
        <v>Wasted Hours</v>
      </c>
      <c r="G98" s="61">
        <v>44327</v>
      </c>
      <c r="H98" s="41" t="s">
        <v>26</v>
      </c>
      <c r="I98" s="42" t="s">
        <v>56</v>
      </c>
      <c r="J98" s="43"/>
      <c r="K98" s="43" t="s">
        <v>57</v>
      </c>
      <c r="L98" s="19">
        <v>0.79166666666666663</v>
      </c>
      <c r="M98" s="19"/>
      <c r="N98" s="19">
        <v>0.875</v>
      </c>
      <c r="O98" s="18"/>
      <c r="P98" s="16">
        <f t="shared" si="3"/>
        <v>2</v>
      </c>
      <c r="Q98" s="16" t="str">
        <f>IF(AND(TimeLogTable[[#This Row],[Date]]&gt;=$M$8,TimeLogTable[[#This Row],[Date]]&lt;=$M$9),"yes","no")</f>
        <v>no</v>
      </c>
    </row>
    <row r="99" spans="1:17">
      <c r="A99" s="20" t="str">
        <f>TEXT(TimeLogTable[[#This Row],[Date]], "yyyy")</f>
        <v>2021</v>
      </c>
      <c r="B99" s="20" t="str">
        <f>TEXT(TimeLogTable[[#This Row],[Date]], "mmm")</f>
        <v>May</v>
      </c>
      <c r="C99" s="20" t="str">
        <f>IFERROR(LOOKUP(TimeLogTable[[#This Row],[Date]],Table44[Start Date],Table44[Week Of]),"")</f>
        <v>Week of 05/10/2021</v>
      </c>
      <c r="D99" s="41" t="str">
        <f>TEXT(TimeLogTable[[#This Row],[Date]],"dddd")</f>
        <v>Wednesday</v>
      </c>
      <c r="E99" s="41" t="str">
        <f>IFERROR(LOOKUP(TimeLogTable[[#This Row],[Start
Time]],Table4[Start Time],Table4[Time of Day]),"")</f>
        <v>Late Evening</v>
      </c>
      <c r="F99" s="41" t="str">
        <f>IFERROR(INDEX(Projects[Productive],MATCH(TimeLogTable[[#This Row],[Task ID]],Projects[Task ID],0)),"")</f>
        <v>Productive Hours</v>
      </c>
      <c r="G99" s="61">
        <v>44328</v>
      </c>
      <c r="H99" s="41" t="s">
        <v>107</v>
      </c>
      <c r="I99" s="42" t="s">
        <v>45</v>
      </c>
      <c r="J99" s="43"/>
      <c r="K99" s="42"/>
      <c r="L99" s="19">
        <v>0.875</v>
      </c>
      <c r="M99" s="19"/>
      <c r="N99" s="19">
        <v>0.25</v>
      </c>
      <c r="O99" s="18"/>
      <c r="P99" s="16">
        <f t="shared" si="3"/>
        <v>9</v>
      </c>
      <c r="Q99" s="16" t="str">
        <f>IF(AND(TimeLogTable[[#This Row],[Date]]&gt;=$M$8,TimeLogTable[[#This Row],[Date]]&lt;=$M$9),"yes","no")</f>
        <v>no</v>
      </c>
    </row>
    <row r="100" spans="1:17">
      <c r="A100" s="20" t="str">
        <f>TEXT(TimeLogTable[[#This Row],[Date]], "yyyy")</f>
        <v>2021</v>
      </c>
      <c r="B100" s="20" t="str">
        <f>TEXT(TimeLogTable[[#This Row],[Date]], "mmm")</f>
        <v>May</v>
      </c>
      <c r="C100" s="20" t="str">
        <f>IFERROR(LOOKUP(TimeLogTable[[#This Row],[Date]],Table44[Start Date],Table44[Week Of]),"")</f>
        <v>Week of 05/10/2021</v>
      </c>
      <c r="D100" s="41" t="str">
        <f>TEXT(TimeLogTable[[#This Row],[Date]],"dddd")</f>
        <v>Thursday</v>
      </c>
      <c r="E100" s="41" t="str">
        <f>IFERROR(LOOKUP(TimeLogTable[[#This Row],[Start
Time]],Table4[Start Time],Table4[Time of Day]),"")</f>
        <v>Afternoon</v>
      </c>
      <c r="F100" s="41" t="str">
        <f>IFERROR(INDEX(Projects[Productive],MATCH(TimeLogTable[[#This Row],[Task ID]],Projects[Task ID],0)),"")</f>
        <v>Wasted Hours</v>
      </c>
      <c r="G100" s="61">
        <v>44329</v>
      </c>
      <c r="H100" s="41" t="s">
        <v>49</v>
      </c>
      <c r="I100" s="42" t="s">
        <v>50</v>
      </c>
      <c r="J100" s="43"/>
      <c r="K100" s="43" t="s">
        <v>52</v>
      </c>
      <c r="L100" s="19">
        <v>0.70416666666666661</v>
      </c>
      <c r="M100" s="19"/>
      <c r="N100" s="19">
        <v>0.72499999999999998</v>
      </c>
      <c r="O100" s="18"/>
      <c r="P100" s="16">
        <f t="shared" si="3"/>
        <v>0.5</v>
      </c>
      <c r="Q100" s="16" t="str">
        <f>IF(AND(TimeLogTable[[#This Row],[Date]]&gt;=$M$8,TimeLogTable[[#This Row],[Date]]&lt;=$M$9),"yes","no")</f>
        <v>no</v>
      </c>
    </row>
    <row r="101" spans="1:17">
      <c r="A101" s="20" t="str">
        <f>TEXT(TimeLogTable[[#This Row],[Date]], "yyyy")</f>
        <v>2021</v>
      </c>
      <c r="B101" s="20" t="str">
        <f>TEXT(TimeLogTable[[#This Row],[Date]], "mmm")</f>
        <v>May</v>
      </c>
      <c r="C101" s="20" t="str">
        <f>IFERROR(LOOKUP(TimeLogTable[[#This Row],[Date]],Table44[Start Date],Table44[Week Of]),"")</f>
        <v>Week of 05/10/2021</v>
      </c>
      <c r="D101" s="41" t="str">
        <f>TEXT(TimeLogTable[[#This Row],[Date]],"dddd")</f>
        <v>Friday</v>
      </c>
      <c r="E101" s="41" t="str">
        <f>IFERROR(LOOKUP(TimeLogTable[[#This Row],[Start
Time]],Table4[Start Time],Table4[Time of Day]),"")</f>
        <v>Afternoon</v>
      </c>
      <c r="F101" s="41" t="str">
        <f>IFERROR(INDEX(Projects[Productive],MATCH(TimeLogTable[[#This Row],[Task ID]],Projects[Task ID],0)),"")</f>
        <v>Productive Hours</v>
      </c>
      <c r="G101" s="61">
        <v>44330</v>
      </c>
      <c r="H101" s="41" t="s">
        <v>33</v>
      </c>
      <c r="I101" s="42" t="s">
        <v>78</v>
      </c>
      <c r="J101" s="43"/>
      <c r="K101" s="43" t="s">
        <v>53</v>
      </c>
      <c r="L101" s="19">
        <v>0.72499999999999998</v>
      </c>
      <c r="M101" s="19"/>
      <c r="N101" s="39">
        <v>0.91666666666666663</v>
      </c>
      <c r="O101" s="18"/>
      <c r="P101" s="16">
        <f t="shared" si="3"/>
        <v>4.5999999999999996</v>
      </c>
      <c r="Q101" s="16" t="str">
        <f>IF(AND(TimeLogTable[[#This Row],[Date]]&gt;=$M$8,TimeLogTable[[#This Row],[Date]]&lt;=$M$9),"yes","no")</f>
        <v>no</v>
      </c>
    </row>
    <row r="102" spans="1:17">
      <c r="A102" s="20" t="str">
        <f>TEXT(TimeLogTable[[#This Row],[Date]], "yyyy")</f>
        <v>2021</v>
      </c>
      <c r="B102" s="20" t="str">
        <f>TEXT(TimeLogTable[[#This Row],[Date]], "mmm")</f>
        <v>May</v>
      </c>
      <c r="C102" s="20" t="str">
        <f>IFERROR(LOOKUP(TimeLogTable[[#This Row],[Date]],Table44[Start Date],Table44[Week Of]),"")</f>
        <v>Week of 05/10/2021</v>
      </c>
      <c r="D102" s="41" t="str">
        <f>TEXT(TimeLogTable[[#This Row],[Date]],"dddd")</f>
        <v>Saturday</v>
      </c>
      <c r="E102" s="41" t="str">
        <f>IFERROR(LOOKUP(TimeLogTable[[#This Row],[Start
Time]],Table4[Start Time],Table4[Time of Day]),"")</f>
        <v>Late Evening</v>
      </c>
      <c r="F102" s="41" t="str">
        <f>IFERROR(INDEX(Projects[Productive],MATCH(TimeLogTable[[#This Row],[Task ID]],Projects[Task ID],0)),"")</f>
        <v>Wasted Hours</v>
      </c>
      <c r="G102" s="61">
        <v>44331</v>
      </c>
      <c r="H102" s="41" t="s">
        <v>49</v>
      </c>
      <c r="I102" s="42" t="s">
        <v>50</v>
      </c>
      <c r="J102" s="43"/>
      <c r="K102" s="43" t="s">
        <v>54</v>
      </c>
      <c r="L102" s="39">
        <v>0.91666666666666663</v>
      </c>
      <c r="M102" s="19"/>
      <c r="N102" s="19">
        <v>0.9375</v>
      </c>
      <c r="O102" s="18"/>
      <c r="P102" s="16">
        <f t="shared" si="3"/>
        <v>0.5</v>
      </c>
      <c r="Q102" s="16" t="str">
        <f>IF(AND(TimeLogTable[[#This Row],[Date]]&gt;=$M$8,TimeLogTable[[#This Row],[Date]]&lt;=$M$9),"yes","no")</f>
        <v>no</v>
      </c>
    </row>
    <row r="103" spans="1:17">
      <c r="A103" s="20" t="str">
        <f>TEXT(TimeLogTable[[#This Row],[Date]], "yyyy")</f>
        <v>2021</v>
      </c>
      <c r="B103" s="20" t="str">
        <f>TEXT(TimeLogTable[[#This Row],[Date]], "mmm")</f>
        <v>May</v>
      </c>
      <c r="C103" s="20" t="str">
        <f>IFERROR(LOOKUP(TimeLogTable[[#This Row],[Date]],Table44[Start Date],Table44[Week Of]),"")</f>
        <v>Week of 05/10/2021</v>
      </c>
      <c r="D103" s="41" t="str">
        <f>TEXT(TimeLogTable[[#This Row],[Date]],"dddd")</f>
        <v>Sunday</v>
      </c>
      <c r="E103" s="41" t="str">
        <f>IFERROR(LOOKUP(TimeLogTable[[#This Row],[Start
Time]],Table4[Start Time],Table4[Time of Day]),"")</f>
        <v>Late Evening</v>
      </c>
      <c r="F103" s="41" t="str">
        <f>IFERROR(INDEX(Projects[Productive],MATCH(TimeLogTable[[#This Row],[Task ID]],Projects[Task ID],0)),"")</f>
        <v>Productive Hours</v>
      </c>
      <c r="G103" s="61">
        <v>44332</v>
      </c>
      <c r="H103" s="41" t="s">
        <v>107</v>
      </c>
      <c r="I103" s="42" t="s">
        <v>45</v>
      </c>
      <c r="J103" s="43"/>
      <c r="K103" s="42"/>
      <c r="L103" s="19">
        <v>0.9375</v>
      </c>
      <c r="M103" s="19"/>
      <c r="N103" s="22">
        <v>0.25</v>
      </c>
      <c r="O103" s="18"/>
      <c r="P103" s="16">
        <f t="shared" si="3"/>
        <v>7.5</v>
      </c>
      <c r="Q103" s="16" t="str">
        <f>IF(AND(TimeLogTable[[#This Row],[Date]]&gt;=$M$8,TimeLogTable[[#This Row],[Date]]&lt;=$M$9),"yes","no")</f>
        <v>no</v>
      </c>
    </row>
    <row r="104" spans="1:17">
      <c r="A104" s="20" t="str">
        <f>TEXT(TimeLogTable[[#This Row],[Date]], "yyyy")</f>
        <v>2021</v>
      </c>
      <c r="B104" s="20" t="str">
        <f>TEXT(TimeLogTable[[#This Row],[Date]], "mmm")</f>
        <v>May</v>
      </c>
      <c r="C104" s="20" t="str">
        <f>IFERROR(LOOKUP(TimeLogTable[[#This Row],[Date]],Table44[Start Date],Table44[Week Of]),"")</f>
        <v>Week of 05/17/2021</v>
      </c>
      <c r="D104" s="41" t="str">
        <f>TEXT(TimeLogTable[[#This Row],[Date]],"dddd")</f>
        <v>Monday</v>
      </c>
      <c r="E104" s="41" t="str">
        <f>IFERROR(LOOKUP(TimeLogTable[[#This Row],[Start
Time]],Table4[Start Time],Table4[Time of Day]),"")</f>
        <v>Early Morning</v>
      </c>
      <c r="F104" s="41" t="str">
        <f>IFERROR(INDEX(Projects[Productive],MATCH(TimeLogTable[[#This Row],[Task ID]],Projects[Task ID],0)),"")</f>
        <v>Productive Hours</v>
      </c>
      <c r="G104" s="61">
        <v>44333</v>
      </c>
      <c r="H104" s="41" t="s">
        <v>29</v>
      </c>
      <c r="I104" s="42" t="s">
        <v>28</v>
      </c>
      <c r="J104" s="43"/>
      <c r="K104" s="43" t="s">
        <v>59</v>
      </c>
      <c r="L104" s="19">
        <v>0.29166666666666669</v>
      </c>
      <c r="M104" s="19"/>
      <c r="N104" s="19">
        <v>0.32291666666666669</v>
      </c>
      <c r="O104" s="18"/>
      <c r="P104" s="16">
        <f t="shared" si="3"/>
        <v>0.75</v>
      </c>
      <c r="Q104" s="16" t="str">
        <f>IF(AND(TimeLogTable[[#This Row],[Date]]&gt;=$M$8,TimeLogTable[[#This Row],[Date]]&lt;=$M$9),"yes","no")</f>
        <v>no</v>
      </c>
    </row>
    <row r="105" spans="1:17">
      <c r="A105" s="20" t="str">
        <f>TEXT(TimeLogTable[[#This Row],[Date]], "yyyy")</f>
        <v>2021</v>
      </c>
      <c r="B105" s="20" t="str">
        <f>TEXT(TimeLogTable[[#This Row],[Date]], "mmm")</f>
        <v>May</v>
      </c>
      <c r="C105" s="20" t="str">
        <f>IFERROR(LOOKUP(TimeLogTable[[#This Row],[Date]],Table44[Start Date],Table44[Week Of]),"")</f>
        <v>Week of 05/17/2021</v>
      </c>
      <c r="D105" s="41" t="str">
        <f>TEXT(TimeLogTable[[#This Row],[Date]],"dddd")</f>
        <v>Tuesday</v>
      </c>
      <c r="E105" s="41" t="str">
        <f>IFERROR(LOOKUP(TimeLogTable[[#This Row],[Start
Time]],Table4[Start Time],Table4[Time of Day]),"")</f>
        <v>Early Morning</v>
      </c>
      <c r="F105" s="41" t="str">
        <f>IFERROR(INDEX(Projects[Productive],MATCH(TimeLogTable[[#This Row],[Task ID]],Projects[Task ID],0)),"")</f>
        <v>Productive Hours</v>
      </c>
      <c r="G105" s="61">
        <v>44334</v>
      </c>
      <c r="H105" s="41" t="s">
        <v>29</v>
      </c>
      <c r="I105" s="42" t="s">
        <v>32</v>
      </c>
      <c r="J105" s="43"/>
      <c r="K105" s="43" t="s">
        <v>58</v>
      </c>
      <c r="L105" s="19">
        <v>0.32291666666666669</v>
      </c>
      <c r="M105" s="19"/>
      <c r="N105" s="19">
        <v>0.33333333333333331</v>
      </c>
      <c r="O105" s="18"/>
      <c r="P105" s="16">
        <f t="shared" si="3"/>
        <v>0.25</v>
      </c>
      <c r="Q105" s="16" t="str">
        <f>IF(AND(TimeLogTable[[#This Row],[Date]]&gt;=$M$8,TimeLogTable[[#This Row],[Date]]&lt;=$M$9),"yes","no")</f>
        <v>no</v>
      </c>
    </row>
    <row r="106" spans="1:17">
      <c r="A106" s="20" t="str">
        <f>TEXT(TimeLogTable[[#This Row],[Date]], "yyyy")</f>
        <v>2021</v>
      </c>
      <c r="B106" s="20" t="str">
        <f>TEXT(TimeLogTable[[#This Row],[Date]], "mmm")</f>
        <v>May</v>
      </c>
      <c r="C106" s="20" t="str">
        <f>IFERROR(LOOKUP(TimeLogTable[[#This Row],[Date]],Table44[Start Date],Table44[Week Of]),"")</f>
        <v>Week of 05/17/2021</v>
      </c>
      <c r="D106" s="41" t="str">
        <f>TEXT(TimeLogTable[[#This Row],[Date]],"dddd")</f>
        <v>Wednesday</v>
      </c>
      <c r="E106" s="41" t="str">
        <f>IFERROR(LOOKUP(TimeLogTable[[#This Row],[Start
Time]],Table4[Start Time],Table4[Time of Day]),"")</f>
        <v>Early Morning</v>
      </c>
      <c r="F106" s="41" t="str">
        <f>IFERROR(INDEX(Projects[Productive],MATCH(TimeLogTable[[#This Row],[Task ID]],Projects[Task ID],0)),"")</f>
        <v>Productive Hours</v>
      </c>
      <c r="G106" s="61">
        <v>44335</v>
      </c>
      <c r="H106" s="41" t="s">
        <v>33</v>
      </c>
      <c r="I106" s="42" t="s">
        <v>78</v>
      </c>
      <c r="J106" s="43"/>
      <c r="K106" s="43" t="s">
        <v>60</v>
      </c>
      <c r="L106" s="19">
        <v>0.33333333333333331</v>
      </c>
      <c r="M106" s="19"/>
      <c r="N106" s="19">
        <v>0.34375</v>
      </c>
      <c r="O106" s="18"/>
      <c r="P106" s="16">
        <f t="shared" si="3"/>
        <v>0.25</v>
      </c>
      <c r="Q106" s="16" t="str">
        <f>IF(AND(TimeLogTable[[#This Row],[Date]]&gt;=$M$8,TimeLogTable[[#This Row],[Date]]&lt;=$M$9),"yes","no")</f>
        <v>no</v>
      </c>
    </row>
    <row r="107" spans="1:17">
      <c r="A107" s="20" t="str">
        <f>TEXT(TimeLogTable[[#This Row],[Date]], "yyyy")</f>
        <v>2021</v>
      </c>
      <c r="B107" s="20" t="str">
        <f>TEXT(TimeLogTable[[#This Row],[Date]], "mmm")</f>
        <v>May</v>
      </c>
      <c r="C107" s="20" t="str">
        <f>IFERROR(LOOKUP(TimeLogTable[[#This Row],[Date]],Table44[Start Date],Table44[Week Of]),"")</f>
        <v>Week of 05/17/2021</v>
      </c>
      <c r="D107" s="41" t="str">
        <f>TEXT(TimeLogTable[[#This Row],[Date]],"dddd")</f>
        <v>Thursday</v>
      </c>
      <c r="E107" s="41" t="str">
        <f>IFERROR(LOOKUP(TimeLogTable[[#This Row],[Start
Time]],Table4[Start Time],Table4[Time of Day]),"")</f>
        <v>Early Morning</v>
      </c>
      <c r="F107" s="41" t="str">
        <f>IFERROR(INDEX(Projects[Productive],MATCH(TimeLogTable[[#This Row],[Task ID]],Projects[Task ID],0)),"")</f>
        <v>Wasted Hours</v>
      </c>
      <c r="G107" s="61">
        <v>44336</v>
      </c>
      <c r="H107" s="41" t="s">
        <v>49</v>
      </c>
      <c r="I107" s="42" t="s">
        <v>50</v>
      </c>
      <c r="J107" s="43"/>
      <c r="K107" s="43" t="s">
        <v>61</v>
      </c>
      <c r="L107" s="19">
        <v>0.34375</v>
      </c>
      <c r="M107" s="19"/>
      <c r="N107" s="19">
        <v>0.375</v>
      </c>
      <c r="O107" s="18"/>
      <c r="P107" s="16">
        <f t="shared" si="3"/>
        <v>0.75</v>
      </c>
      <c r="Q107" s="16" t="str">
        <f>IF(AND(TimeLogTable[[#This Row],[Date]]&gt;=$M$8,TimeLogTable[[#This Row],[Date]]&lt;=$M$9),"yes","no")</f>
        <v>no</v>
      </c>
    </row>
    <row r="108" spans="1:17">
      <c r="A108" s="20" t="str">
        <f>TEXT(TimeLogTable[[#This Row],[Date]], "yyyy")</f>
        <v>2021</v>
      </c>
      <c r="B108" s="20" t="str">
        <f>TEXT(TimeLogTable[[#This Row],[Date]], "mmm")</f>
        <v>May</v>
      </c>
      <c r="C108" s="20" t="str">
        <f>IFERROR(LOOKUP(TimeLogTable[[#This Row],[Date]],Table44[Start Date],Table44[Week Of]),"")</f>
        <v>Week of 05/17/2021</v>
      </c>
      <c r="D108" s="41" t="str">
        <f>TEXT(TimeLogTable[[#This Row],[Date]],"dddd")</f>
        <v>Friday</v>
      </c>
      <c r="E108" s="41" t="str">
        <f>IFERROR(LOOKUP(TimeLogTable[[#This Row],[Start
Time]],Table4[Start Time],Table4[Time of Day]),"")</f>
        <v>Morning</v>
      </c>
      <c r="F108" s="41" t="str">
        <f>IFERROR(INDEX(Projects[Productive],MATCH(TimeLogTable[[#This Row],[Task ID]],Projects[Task ID],0)),"")</f>
        <v>Productive Hours</v>
      </c>
      <c r="G108" s="61">
        <v>44337</v>
      </c>
      <c r="H108" s="41" t="s">
        <v>33</v>
      </c>
      <c r="I108" s="42" t="s">
        <v>79</v>
      </c>
      <c r="J108" s="43"/>
      <c r="K108" s="43" t="s">
        <v>62</v>
      </c>
      <c r="L108" s="19">
        <v>0.375</v>
      </c>
      <c r="M108" s="19"/>
      <c r="N108" s="19">
        <v>0.5</v>
      </c>
      <c r="O108" s="18"/>
      <c r="P108" s="16">
        <f t="shared" si="3"/>
        <v>3</v>
      </c>
      <c r="Q108" s="16" t="str">
        <f>IF(AND(TimeLogTable[[#This Row],[Date]]&gt;=$M$8,TimeLogTable[[#This Row],[Date]]&lt;=$M$9),"yes","no")</f>
        <v>no</v>
      </c>
    </row>
    <row r="109" spans="1:17">
      <c r="A109" s="20" t="str">
        <f>TEXT(TimeLogTable[[#This Row],[Date]], "yyyy")</f>
        <v>2021</v>
      </c>
      <c r="B109" s="20" t="str">
        <f>TEXT(TimeLogTable[[#This Row],[Date]], "mmm")</f>
        <v>May</v>
      </c>
      <c r="C109" s="20" t="str">
        <f>IFERROR(LOOKUP(TimeLogTable[[#This Row],[Date]],Table44[Start Date],Table44[Week Of]),"")</f>
        <v>Week of 05/17/2021</v>
      </c>
      <c r="D109" s="41" t="str">
        <f>TEXT(TimeLogTable[[#This Row],[Date]],"dddd")</f>
        <v>Saturday</v>
      </c>
      <c r="E109" s="41" t="str">
        <f>IFERROR(LOOKUP(TimeLogTable[[#This Row],[Start
Time]],Table4[Start Time],Table4[Time of Day]),"")</f>
        <v>Afternoon</v>
      </c>
      <c r="F109" s="41" t="str">
        <f>IFERROR(INDEX(Projects[Productive],MATCH(TimeLogTable[[#This Row],[Task ID]],Projects[Task ID],0)),"")</f>
        <v>Wasted Hours</v>
      </c>
      <c r="G109" s="61">
        <v>44338</v>
      </c>
      <c r="H109" s="41" t="s">
        <v>38</v>
      </c>
      <c r="I109" s="42" t="s">
        <v>39</v>
      </c>
      <c r="J109" s="43"/>
      <c r="K109" s="43" t="s">
        <v>63</v>
      </c>
      <c r="L109" s="19">
        <v>0.5</v>
      </c>
      <c r="M109" s="19"/>
      <c r="N109" s="19">
        <v>0.625</v>
      </c>
      <c r="O109" s="18"/>
      <c r="P109" s="16">
        <f t="shared" si="3"/>
        <v>3</v>
      </c>
      <c r="Q109" s="16" t="str">
        <f>IF(AND(TimeLogTable[[#This Row],[Date]]&gt;=$M$8,TimeLogTable[[#This Row],[Date]]&lt;=$M$9),"yes","no")</f>
        <v>no</v>
      </c>
    </row>
    <row r="110" spans="1:17">
      <c r="A110" s="20" t="str">
        <f>TEXT(TimeLogTable[[#This Row],[Date]], "yyyy")</f>
        <v>2021</v>
      </c>
      <c r="B110" s="20" t="str">
        <f>TEXT(TimeLogTable[[#This Row],[Date]], "mmm")</f>
        <v>May</v>
      </c>
      <c r="C110" s="20" t="str">
        <f>IFERROR(LOOKUP(TimeLogTable[[#This Row],[Date]],Table44[Start Date],Table44[Week Of]),"")</f>
        <v>Week of 05/17/2021</v>
      </c>
      <c r="D110" s="41" t="str">
        <f>TEXT(TimeLogTable[[#This Row],[Date]],"dddd")</f>
        <v>Sunday</v>
      </c>
      <c r="E110" s="41" t="str">
        <f>IFERROR(LOOKUP(TimeLogTable[[#This Row],[Start
Time]],Table4[Start Time],Table4[Time of Day]),"")</f>
        <v>Afternoon</v>
      </c>
      <c r="F110" s="41" t="str">
        <f>IFERROR(INDEX(Projects[Productive],MATCH(TimeLogTable[[#This Row],[Task ID]],Projects[Task ID],0)),"")</f>
        <v>Productive Hours</v>
      </c>
      <c r="G110" s="61">
        <v>44339</v>
      </c>
      <c r="H110" s="41" t="s">
        <v>33</v>
      </c>
      <c r="I110" s="42" t="s">
        <v>79</v>
      </c>
      <c r="J110" s="43"/>
      <c r="K110" s="43" t="s">
        <v>64</v>
      </c>
      <c r="L110" s="19">
        <v>0.625</v>
      </c>
      <c r="M110" s="19"/>
      <c r="N110" s="19">
        <v>0.75</v>
      </c>
      <c r="O110" s="18"/>
      <c r="P110" s="16">
        <f t="shared" ref="P110:P141" si="4">O110/60+ROUND(IF((OR(L110="",N110="")),0,IF((N110&lt;L110),((N110-L110)*24)+24,(N110-L110)*24)-M110/60),2)</f>
        <v>3</v>
      </c>
      <c r="Q110" s="16" t="str">
        <f>IF(AND(TimeLogTable[[#This Row],[Date]]&gt;=$M$8,TimeLogTable[[#This Row],[Date]]&lt;=$M$9),"yes","no")</f>
        <v>no</v>
      </c>
    </row>
    <row r="111" spans="1:17">
      <c r="A111" s="20" t="str">
        <f>TEXT(TimeLogTable[[#This Row],[Date]], "yyyy")</f>
        <v>2021</v>
      </c>
      <c r="B111" s="20" t="str">
        <f>TEXT(TimeLogTable[[#This Row],[Date]], "mmm")</f>
        <v>May</v>
      </c>
      <c r="C111" s="20" t="str">
        <f>IFERROR(LOOKUP(TimeLogTable[[#This Row],[Date]],Table44[Start Date],Table44[Week Of]),"")</f>
        <v>Week of 05/24/2021</v>
      </c>
      <c r="D111" s="41" t="str">
        <f>TEXT(TimeLogTable[[#This Row],[Date]],"dddd")</f>
        <v>Monday</v>
      </c>
      <c r="E111" s="41" t="str">
        <f>IFERROR(LOOKUP(TimeLogTable[[#This Row],[Start
Time]],Table4[Start Time],Table4[Time of Day]),"")</f>
        <v>Evening</v>
      </c>
      <c r="F111" s="41" t="str">
        <f>IFERROR(INDEX(Projects[Productive],MATCH(TimeLogTable[[#This Row],[Task ID]],Projects[Task ID],0)),"")</f>
        <v>Wasted Hours</v>
      </c>
      <c r="G111" s="61">
        <v>44340</v>
      </c>
      <c r="H111" s="41" t="s">
        <v>49</v>
      </c>
      <c r="I111" s="42" t="s">
        <v>50</v>
      </c>
      <c r="J111" s="43"/>
      <c r="K111" s="43" t="s">
        <v>65</v>
      </c>
      <c r="L111" s="19">
        <v>0.75</v>
      </c>
      <c r="M111" s="19"/>
      <c r="N111" s="19">
        <v>0.79166666666666663</v>
      </c>
      <c r="O111" s="18"/>
      <c r="P111" s="16">
        <f t="shared" si="4"/>
        <v>1</v>
      </c>
      <c r="Q111" s="16" t="str">
        <f>IF(AND(TimeLogTable[[#This Row],[Date]]&gt;=$M$8,TimeLogTable[[#This Row],[Date]]&lt;=$M$9),"yes","no")</f>
        <v>no</v>
      </c>
    </row>
    <row r="112" spans="1:17">
      <c r="A112" s="20" t="str">
        <f>TEXT(TimeLogTable[[#This Row],[Date]], "yyyy")</f>
        <v>2021</v>
      </c>
      <c r="B112" s="20" t="str">
        <f>TEXT(TimeLogTable[[#This Row],[Date]], "mmm")</f>
        <v>May</v>
      </c>
      <c r="C112" s="20" t="str">
        <f>IFERROR(LOOKUP(TimeLogTable[[#This Row],[Date]],Table44[Start Date],Table44[Week Of]),"")</f>
        <v>Week of 05/24/2021</v>
      </c>
      <c r="D112" s="41" t="str">
        <f>TEXT(TimeLogTable[[#This Row],[Date]],"dddd")</f>
        <v>Tuesday</v>
      </c>
      <c r="E112" s="41" t="str">
        <f>IFERROR(LOOKUP(TimeLogTable[[#This Row],[Start
Time]],Table4[Start Time],Table4[Time of Day]),"")</f>
        <v>Evening</v>
      </c>
      <c r="F112" s="41" t="str">
        <f>IFERROR(INDEX(Projects[Productive],MATCH(TimeLogTable[[#This Row],[Task ID]],Projects[Task ID],0)),"")</f>
        <v>Wasted Hours</v>
      </c>
      <c r="G112" s="61">
        <v>44341</v>
      </c>
      <c r="H112" s="41" t="s">
        <v>26</v>
      </c>
      <c r="I112" s="42" t="s">
        <v>56</v>
      </c>
      <c r="J112" s="43"/>
      <c r="K112" s="43" t="s">
        <v>57</v>
      </c>
      <c r="L112" s="19">
        <v>0.79166666666666663</v>
      </c>
      <c r="M112" s="19"/>
      <c r="N112" s="19">
        <v>0.875</v>
      </c>
      <c r="O112" s="18"/>
      <c r="P112" s="16">
        <f t="shared" si="4"/>
        <v>2</v>
      </c>
      <c r="Q112" s="16" t="str">
        <f>IF(AND(TimeLogTable[[#This Row],[Date]]&gt;=$M$8,TimeLogTable[[#This Row],[Date]]&lt;=$M$9),"yes","no")</f>
        <v>no</v>
      </c>
    </row>
    <row r="113" spans="1:17">
      <c r="A113" s="20" t="str">
        <f>TEXT(TimeLogTable[[#This Row],[Date]], "yyyy")</f>
        <v>2021</v>
      </c>
      <c r="B113" s="20" t="str">
        <f>TEXT(TimeLogTable[[#This Row],[Date]], "mmm")</f>
        <v>May</v>
      </c>
      <c r="C113" s="20" t="str">
        <f>IFERROR(LOOKUP(TimeLogTable[[#This Row],[Date]],Table44[Start Date],Table44[Week Of]),"")</f>
        <v>Week of 05/24/2021</v>
      </c>
      <c r="D113" s="41" t="str">
        <f>TEXT(TimeLogTable[[#This Row],[Date]],"dddd")</f>
        <v>Wednesday</v>
      </c>
      <c r="E113" s="41" t="str">
        <f>IFERROR(LOOKUP(TimeLogTable[[#This Row],[Start
Time]],Table4[Start Time],Table4[Time of Day]),"")</f>
        <v>Late Evening</v>
      </c>
      <c r="F113" s="41" t="str">
        <f>IFERROR(INDEX(Projects[Productive],MATCH(TimeLogTable[[#This Row],[Task ID]],Projects[Task ID],0)),"")</f>
        <v>Productive Hours</v>
      </c>
      <c r="G113" s="61">
        <v>44342</v>
      </c>
      <c r="H113" s="41" t="s">
        <v>107</v>
      </c>
      <c r="I113" s="42" t="s">
        <v>45</v>
      </c>
      <c r="J113" s="43"/>
      <c r="K113" s="42"/>
      <c r="L113" s="19">
        <v>0.875</v>
      </c>
      <c r="M113" s="19"/>
      <c r="N113" s="19">
        <v>0.25</v>
      </c>
      <c r="O113" s="18"/>
      <c r="P113" s="16">
        <f t="shared" si="4"/>
        <v>9</v>
      </c>
      <c r="Q113" s="16" t="str">
        <f>IF(AND(TimeLogTable[[#This Row],[Date]]&gt;=$M$8,TimeLogTable[[#This Row],[Date]]&lt;=$M$9),"yes","no")</f>
        <v>no</v>
      </c>
    </row>
    <row r="114" spans="1:17">
      <c r="A114" s="20" t="str">
        <f>TEXT(TimeLogTable[[#This Row],[Date]], "yyyy")</f>
        <v>2021</v>
      </c>
      <c r="B114" s="20" t="str">
        <f>TEXT(TimeLogTable[[#This Row],[Date]], "mmm")</f>
        <v>May</v>
      </c>
      <c r="C114" s="20" t="str">
        <f>IFERROR(LOOKUP(TimeLogTable[[#This Row],[Date]],Table44[Start Date],Table44[Week Of]),"")</f>
        <v>Week of 05/24/2021</v>
      </c>
      <c r="D114" s="41" t="str">
        <f>TEXT(TimeLogTable[[#This Row],[Date]],"dddd")</f>
        <v>Thursday</v>
      </c>
      <c r="E114" s="41" t="str">
        <f>IFERROR(LOOKUP(TimeLogTable[[#This Row],[Start
Time]],Table4[Start Time],Table4[Time of Day]),"")</f>
        <v>Afternoon</v>
      </c>
      <c r="F114" s="41" t="str">
        <f>IFERROR(INDEX(Projects[Productive],MATCH(TimeLogTable[[#This Row],[Task ID]],Projects[Task ID],0)),"")</f>
        <v>Wasted Hours</v>
      </c>
      <c r="G114" s="61">
        <v>44343</v>
      </c>
      <c r="H114" s="41" t="s">
        <v>49</v>
      </c>
      <c r="I114" s="42" t="s">
        <v>50</v>
      </c>
      <c r="J114" s="43"/>
      <c r="K114" s="43" t="s">
        <v>52</v>
      </c>
      <c r="L114" s="19">
        <v>0.70416666666666661</v>
      </c>
      <c r="M114" s="19"/>
      <c r="N114" s="19">
        <v>0.72499999999999998</v>
      </c>
      <c r="O114" s="18"/>
      <c r="P114" s="16">
        <f t="shared" si="4"/>
        <v>0.5</v>
      </c>
      <c r="Q114" s="16" t="str">
        <f>IF(AND(TimeLogTable[[#This Row],[Date]]&gt;=$M$8,TimeLogTable[[#This Row],[Date]]&lt;=$M$9),"yes","no")</f>
        <v>no</v>
      </c>
    </row>
    <row r="115" spans="1:17">
      <c r="A115" s="20" t="str">
        <f>TEXT(TimeLogTable[[#This Row],[Date]], "yyyy")</f>
        <v>2021</v>
      </c>
      <c r="B115" s="20" t="str">
        <f>TEXT(TimeLogTable[[#This Row],[Date]], "mmm")</f>
        <v>May</v>
      </c>
      <c r="C115" s="20" t="str">
        <f>IFERROR(LOOKUP(TimeLogTable[[#This Row],[Date]],Table44[Start Date],Table44[Week Of]),"")</f>
        <v>Week of 05/24/2021</v>
      </c>
      <c r="D115" s="41" t="str">
        <f>TEXT(TimeLogTable[[#This Row],[Date]],"dddd")</f>
        <v>Friday</v>
      </c>
      <c r="E115" s="41" t="str">
        <f>IFERROR(LOOKUP(TimeLogTable[[#This Row],[Start
Time]],Table4[Start Time],Table4[Time of Day]),"")</f>
        <v>Afternoon</v>
      </c>
      <c r="F115" s="41" t="str">
        <f>IFERROR(INDEX(Projects[Productive],MATCH(TimeLogTable[[#This Row],[Task ID]],Projects[Task ID],0)),"")</f>
        <v>Productive Hours</v>
      </c>
      <c r="G115" s="61">
        <v>44344</v>
      </c>
      <c r="H115" s="41" t="s">
        <v>33</v>
      </c>
      <c r="I115" s="42" t="s">
        <v>78</v>
      </c>
      <c r="J115" s="43"/>
      <c r="K115" s="43" t="s">
        <v>53</v>
      </c>
      <c r="L115" s="19">
        <v>0.72499999999999998</v>
      </c>
      <c r="M115" s="19"/>
      <c r="N115" s="39">
        <v>0.91666666666666663</v>
      </c>
      <c r="O115" s="18"/>
      <c r="P115" s="16">
        <f t="shared" si="4"/>
        <v>4.5999999999999996</v>
      </c>
      <c r="Q115" s="16" t="str">
        <f>IF(AND(TimeLogTable[[#This Row],[Date]]&gt;=$M$8,TimeLogTable[[#This Row],[Date]]&lt;=$M$9),"yes","no")</f>
        <v>no</v>
      </c>
    </row>
    <row r="116" spans="1:17">
      <c r="A116" s="20" t="str">
        <f>TEXT(TimeLogTable[[#This Row],[Date]], "yyyy")</f>
        <v>2021</v>
      </c>
      <c r="B116" s="20" t="str">
        <f>TEXT(TimeLogTable[[#This Row],[Date]], "mmm")</f>
        <v>May</v>
      </c>
      <c r="C116" s="20" t="str">
        <f>IFERROR(LOOKUP(TimeLogTable[[#This Row],[Date]],Table44[Start Date],Table44[Week Of]),"")</f>
        <v>Week of 05/24/2021</v>
      </c>
      <c r="D116" s="41" t="str">
        <f>TEXT(TimeLogTable[[#This Row],[Date]],"dddd")</f>
        <v>Saturday</v>
      </c>
      <c r="E116" s="41" t="str">
        <f>IFERROR(LOOKUP(TimeLogTable[[#This Row],[Start
Time]],Table4[Start Time],Table4[Time of Day]),"")</f>
        <v>Late Evening</v>
      </c>
      <c r="F116" s="41" t="str">
        <f>IFERROR(INDEX(Projects[Productive],MATCH(TimeLogTable[[#This Row],[Task ID]],Projects[Task ID],0)),"")</f>
        <v>Wasted Hours</v>
      </c>
      <c r="G116" s="61">
        <v>44345</v>
      </c>
      <c r="H116" s="41" t="s">
        <v>49</v>
      </c>
      <c r="I116" s="42" t="s">
        <v>50</v>
      </c>
      <c r="J116" s="43"/>
      <c r="K116" s="43" t="s">
        <v>54</v>
      </c>
      <c r="L116" s="39">
        <v>0.91666666666666663</v>
      </c>
      <c r="M116" s="19"/>
      <c r="N116" s="19">
        <v>0.9375</v>
      </c>
      <c r="O116" s="18"/>
      <c r="P116" s="16">
        <f t="shared" si="4"/>
        <v>0.5</v>
      </c>
      <c r="Q116" s="16" t="str">
        <f>IF(AND(TimeLogTable[[#This Row],[Date]]&gt;=$M$8,TimeLogTable[[#This Row],[Date]]&lt;=$M$9),"yes","no")</f>
        <v>no</v>
      </c>
    </row>
    <row r="117" spans="1:17">
      <c r="A117" s="20" t="str">
        <f>TEXT(TimeLogTable[[#This Row],[Date]], "yyyy")</f>
        <v>2021</v>
      </c>
      <c r="B117" s="20" t="str">
        <f>TEXT(TimeLogTable[[#This Row],[Date]], "mmm")</f>
        <v>May</v>
      </c>
      <c r="C117" s="20" t="str">
        <f>IFERROR(LOOKUP(TimeLogTable[[#This Row],[Date]],Table44[Start Date],Table44[Week Of]),"")</f>
        <v>Week of 05/24/2021</v>
      </c>
      <c r="D117" s="41" t="str">
        <f>TEXT(TimeLogTable[[#This Row],[Date]],"dddd")</f>
        <v>Sunday</v>
      </c>
      <c r="E117" s="41" t="str">
        <f>IFERROR(LOOKUP(TimeLogTable[[#This Row],[Start
Time]],Table4[Start Time],Table4[Time of Day]),"")</f>
        <v>Late Evening</v>
      </c>
      <c r="F117" s="41" t="str">
        <f>IFERROR(INDEX(Projects[Productive],MATCH(TimeLogTable[[#This Row],[Task ID]],Projects[Task ID],0)),"")</f>
        <v>Productive Hours</v>
      </c>
      <c r="G117" s="61">
        <v>44346</v>
      </c>
      <c r="H117" s="41" t="s">
        <v>107</v>
      </c>
      <c r="I117" s="42" t="s">
        <v>45</v>
      </c>
      <c r="J117" s="43"/>
      <c r="K117" s="42"/>
      <c r="L117" s="19">
        <v>0.9375</v>
      </c>
      <c r="M117" s="19"/>
      <c r="N117" s="22">
        <v>0.25</v>
      </c>
      <c r="O117" s="18"/>
      <c r="P117" s="16">
        <f t="shared" si="4"/>
        <v>7.5</v>
      </c>
      <c r="Q117" s="16" t="str">
        <f>IF(AND(TimeLogTable[[#This Row],[Date]]&gt;=$M$8,TimeLogTable[[#This Row],[Date]]&lt;=$M$9),"yes","no")</f>
        <v>no</v>
      </c>
    </row>
    <row r="118" spans="1:17">
      <c r="A118" s="20" t="str">
        <f>TEXT(TimeLogTable[[#This Row],[Date]], "yyyy")</f>
        <v>2021</v>
      </c>
      <c r="B118" s="20" t="str">
        <f>TEXT(TimeLogTable[[#This Row],[Date]], "mmm")</f>
        <v>May</v>
      </c>
      <c r="C118" s="20" t="str">
        <f>IFERROR(LOOKUP(TimeLogTable[[#This Row],[Date]],Table44[Start Date],Table44[Week Of]),"")</f>
        <v>Week of 05/31/2021</v>
      </c>
      <c r="D118" s="41" t="str">
        <f>TEXT(TimeLogTable[[#This Row],[Date]],"dddd")</f>
        <v>Monday</v>
      </c>
      <c r="E118" s="41" t="str">
        <f>IFERROR(LOOKUP(TimeLogTable[[#This Row],[Start
Time]],Table4[Start Time],Table4[Time of Day]),"")</f>
        <v>Early Morning</v>
      </c>
      <c r="F118" s="41" t="str">
        <f>IFERROR(INDEX(Projects[Productive],MATCH(TimeLogTable[[#This Row],[Task ID]],Projects[Task ID],0)),"")</f>
        <v>Productive Hours</v>
      </c>
      <c r="G118" s="61">
        <v>44347</v>
      </c>
      <c r="H118" s="41" t="s">
        <v>29</v>
      </c>
      <c r="I118" s="42" t="s">
        <v>28</v>
      </c>
      <c r="J118" s="43"/>
      <c r="K118" s="43" t="s">
        <v>59</v>
      </c>
      <c r="L118" s="19">
        <v>0.29166666666666669</v>
      </c>
      <c r="M118" s="19"/>
      <c r="N118" s="19">
        <v>0.32291666666666669</v>
      </c>
      <c r="O118" s="18"/>
      <c r="P118" s="16">
        <f t="shared" si="4"/>
        <v>0.75</v>
      </c>
      <c r="Q118" s="16" t="str">
        <f>IF(AND(TimeLogTable[[#This Row],[Date]]&gt;=$M$8,TimeLogTable[[#This Row],[Date]]&lt;=$M$9),"yes","no")</f>
        <v>no</v>
      </c>
    </row>
    <row r="119" spans="1:17">
      <c r="A119" s="20" t="str">
        <f>TEXT(TimeLogTable[[#This Row],[Date]], "yyyy")</f>
        <v>2021</v>
      </c>
      <c r="B119" s="20" t="str">
        <f>TEXT(TimeLogTable[[#This Row],[Date]], "mmm")</f>
        <v>Jun</v>
      </c>
      <c r="C119" s="20" t="str">
        <f>IFERROR(LOOKUP(TimeLogTable[[#This Row],[Date]],Table44[Start Date],Table44[Week Of]),"")</f>
        <v>Week of 05/31/2021</v>
      </c>
      <c r="D119" s="41" t="str">
        <f>TEXT(TimeLogTable[[#This Row],[Date]],"dddd")</f>
        <v>Tuesday</v>
      </c>
      <c r="E119" s="41" t="str">
        <f>IFERROR(LOOKUP(TimeLogTable[[#This Row],[Start
Time]],Table4[Start Time],Table4[Time of Day]),"")</f>
        <v>Early Morning</v>
      </c>
      <c r="F119" s="41" t="str">
        <f>IFERROR(INDEX(Projects[Productive],MATCH(TimeLogTable[[#This Row],[Task ID]],Projects[Task ID],0)),"")</f>
        <v>Productive Hours</v>
      </c>
      <c r="G119" s="61">
        <v>44348</v>
      </c>
      <c r="H119" s="41" t="s">
        <v>29</v>
      </c>
      <c r="I119" s="42" t="s">
        <v>32</v>
      </c>
      <c r="J119" s="43"/>
      <c r="K119" s="43" t="s">
        <v>58</v>
      </c>
      <c r="L119" s="19">
        <v>0.32291666666666669</v>
      </c>
      <c r="M119" s="19"/>
      <c r="N119" s="19">
        <v>0.33333333333333331</v>
      </c>
      <c r="O119" s="18"/>
      <c r="P119" s="16">
        <f t="shared" si="4"/>
        <v>0.25</v>
      </c>
      <c r="Q119" s="16" t="str">
        <f>IF(AND(TimeLogTable[[#This Row],[Date]]&gt;=$M$8,TimeLogTable[[#This Row],[Date]]&lt;=$M$9),"yes","no")</f>
        <v>no</v>
      </c>
    </row>
    <row r="120" spans="1:17">
      <c r="A120" s="20" t="str">
        <f>TEXT(TimeLogTable[[#This Row],[Date]], "yyyy")</f>
        <v>2021</v>
      </c>
      <c r="B120" s="20" t="str">
        <f>TEXT(TimeLogTable[[#This Row],[Date]], "mmm")</f>
        <v>Jun</v>
      </c>
      <c r="C120" s="20" t="str">
        <f>IFERROR(LOOKUP(TimeLogTable[[#This Row],[Date]],Table44[Start Date],Table44[Week Of]),"")</f>
        <v>Week of 05/31/2021</v>
      </c>
      <c r="D120" s="41" t="str">
        <f>TEXT(TimeLogTable[[#This Row],[Date]],"dddd")</f>
        <v>Wednesday</v>
      </c>
      <c r="E120" s="41" t="str">
        <f>IFERROR(LOOKUP(TimeLogTable[[#This Row],[Start
Time]],Table4[Start Time],Table4[Time of Day]),"")</f>
        <v>Early Morning</v>
      </c>
      <c r="F120" s="41" t="str">
        <f>IFERROR(INDEX(Projects[Productive],MATCH(TimeLogTable[[#This Row],[Task ID]],Projects[Task ID],0)),"")</f>
        <v>Productive Hours</v>
      </c>
      <c r="G120" s="61">
        <v>44349</v>
      </c>
      <c r="H120" s="41" t="s">
        <v>33</v>
      </c>
      <c r="I120" s="42" t="s">
        <v>78</v>
      </c>
      <c r="J120" s="43"/>
      <c r="K120" s="43" t="s">
        <v>60</v>
      </c>
      <c r="L120" s="19">
        <v>0.33333333333333331</v>
      </c>
      <c r="M120" s="19"/>
      <c r="N120" s="19">
        <v>0.34375</v>
      </c>
      <c r="O120" s="18"/>
      <c r="P120" s="16">
        <f t="shared" si="4"/>
        <v>0.25</v>
      </c>
      <c r="Q120" s="16" t="str">
        <f>IF(AND(TimeLogTable[[#This Row],[Date]]&gt;=$M$8,TimeLogTable[[#This Row],[Date]]&lt;=$M$9),"yes","no")</f>
        <v>no</v>
      </c>
    </row>
    <row r="121" spans="1:17">
      <c r="A121" s="20" t="str">
        <f>TEXT(TimeLogTable[[#This Row],[Date]], "yyyy")</f>
        <v>2021</v>
      </c>
      <c r="B121" s="20" t="str">
        <f>TEXT(TimeLogTable[[#This Row],[Date]], "mmm")</f>
        <v>Jun</v>
      </c>
      <c r="C121" s="20" t="str">
        <f>IFERROR(LOOKUP(TimeLogTable[[#This Row],[Date]],Table44[Start Date],Table44[Week Of]),"")</f>
        <v>Week of 05/31/2021</v>
      </c>
      <c r="D121" s="41" t="str">
        <f>TEXT(TimeLogTable[[#This Row],[Date]],"dddd")</f>
        <v>Thursday</v>
      </c>
      <c r="E121" s="41" t="str">
        <f>IFERROR(LOOKUP(TimeLogTable[[#This Row],[Start
Time]],Table4[Start Time],Table4[Time of Day]),"")</f>
        <v>Early Morning</v>
      </c>
      <c r="F121" s="41" t="str">
        <f>IFERROR(INDEX(Projects[Productive],MATCH(TimeLogTable[[#This Row],[Task ID]],Projects[Task ID],0)),"")</f>
        <v>Wasted Hours</v>
      </c>
      <c r="G121" s="61">
        <v>44350</v>
      </c>
      <c r="H121" s="41" t="s">
        <v>49</v>
      </c>
      <c r="I121" s="42" t="s">
        <v>50</v>
      </c>
      <c r="J121" s="43"/>
      <c r="K121" s="43" t="s">
        <v>61</v>
      </c>
      <c r="L121" s="19">
        <v>0.34375</v>
      </c>
      <c r="M121" s="19"/>
      <c r="N121" s="19">
        <v>0.375</v>
      </c>
      <c r="O121" s="18"/>
      <c r="P121" s="16">
        <f t="shared" si="4"/>
        <v>0.75</v>
      </c>
      <c r="Q121" s="16" t="str">
        <f>IF(AND(TimeLogTable[[#This Row],[Date]]&gt;=$M$8,TimeLogTable[[#This Row],[Date]]&lt;=$M$9),"yes","no")</f>
        <v>no</v>
      </c>
    </row>
    <row r="122" spans="1:17">
      <c r="A122" s="20" t="str">
        <f>TEXT(TimeLogTable[[#This Row],[Date]], "yyyy")</f>
        <v>2021</v>
      </c>
      <c r="B122" s="20" t="str">
        <f>TEXT(TimeLogTable[[#This Row],[Date]], "mmm")</f>
        <v>Jun</v>
      </c>
      <c r="C122" s="20" t="str">
        <f>IFERROR(LOOKUP(TimeLogTable[[#This Row],[Date]],Table44[Start Date],Table44[Week Of]),"")</f>
        <v>Week of 05/31/2021</v>
      </c>
      <c r="D122" s="41" t="str">
        <f>TEXT(TimeLogTable[[#This Row],[Date]],"dddd")</f>
        <v>Friday</v>
      </c>
      <c r="E122" s="41" t="str">
        <f>IFERROR(LOOKUP(TimeLogTable[[#This Row],[Start
Time]],Table4[Start Time],Table4[Time of Day]),"")</f>
        <v>Morning</v>
      </c>
      <c r="F122" s="41" t="str">
        <f>IFERROR(INDEX(Projects[Productive],MATCH(TimeLogTable[[#This Row],[Task ID]],Projects[Task ID],0)),"")</f>
        <v>Productive Hours</v>
      </c>
      <c r="G122" s="61">
        <v>44351</v>
      </c>
      <c r="H122" s="41" t="s">
        <v>33</v>
      </c>
      <c r="I122" s="42" t="s">
        <v>79</v>
      </c>
      <c r="J122" s="43"/>
      <c r="K122" s="43" t="s">
        <v>62</v>
      </c>
      <c r="L122" s="19">
        <v>0.375</v>
      </c>
      <c r="M122" s="19"/>
      <c r="N122" s="19">
        <v>0.5</v>
      </c>
      <c r="O122" s="18"/>
      <c r="P122" s="16">
        <f t="shared" si="4"/>
        <v>3</v>
      </c>
      <c r="Q122" s="16" t="str">
        <f>IF(AND(TimeLogTable[[#This Row],[Date]]&gt;=$M$8,TimeLogTable[[#This Row],[Date]]&lt;=$M$9),"yes","no")</f>
        <v>no</v>
      </c>
    </row>
    <row r="123" spans="1:17">
      <c r="A123" s="20" t="str">
        <f>TEXT(TimeLogTable[[#This Row],[Date]], "yyyy")</f>
        <v>2021</v>
      </c>
      <c r="B123" s="20" t="str">
        <f>TEXT(TimeLogTable[[#This Row],[Date]], "mmm")</f>
        <v>Jun</v>
      </c>
      <c r="C123" s="20" t="str">
        <f>IFERROR(LOOKUP(TimeLogTable[[#This Row],[Date]],Table44[Start Date],Table44[Week Of]),"")</f>
        <v>Week of 05/31/2021</v>
      </c>
      <c r="D123" s="41" t="str">
        <f>TEXT(TimeLogTable[[#This Row],[Date]],"dddd")</f>
        <v>Saturday</v>
      </c>
      <c r="E123" s="41" t="str">
        <f>IFERROR(LOOKUP(TimeLogTable[[#This Row],[Start
Time]],Table4[Start Time],Table4[Time of Day]),"")</f>
        <v>Afternoon</v>
      </c>
      <c r="F123" s="41" t="str">
        <f>IFERROR(INDEX(Projects[Productive],MATCH(TimeLogTable[[#This Row],[Task ID]],Projects[Task ID],0)),"")</f>
        <v>Wasted Hours</v>
      </c>
      <c r="G123" s="61">
        <v>44352</v>
      </c>
      <c r="H123" s="41" t="s">
        <v>38</v>
      </c>
      <c r="I123" s="42" t="s">
        <v>39</v>
      </c>
      <c r="J123" s="43"/>
      <c r="K123" s="43" t="s">
        <v>63</v>
      </c>
      <c r="L123" s="19">
        <v>0.5</v>
      </c>
      <c r="M123" s="19"/>
      <c r="N123" s="19">
        <v>0.625</v>
      </c>
      <c r="O123" s="18"/>
      <c r="P123" s="16">
        <f t="shared" si="4"/>
        <v>3</v>
      </c>
      <c r="Q123" s="16" t="str">
        <f>IF(AND(TimeLogTable[[#This Row],[Date]]&gt;=$M$8,TimeLogTable[[#This Row],[Date]]&lt;=$M$9),"yes","no")</f>
        <v>no</v>
      </c>
    </row>
    <row r="124" spans="1:17">
      <c r="A124" s="20" t="str">
        <f>TEXT(TimeLogTable[[#This Row],[Date]], "yyyy")</f>
        <v>2021</v>
      </c>
      <c r="B124" s="20" t="str">
        <f>TEXT(TimeLogTable[[#This Row],[Date]], "mmm")</f>
        <v>Jun</v>
      </c>
      <c r="C124" s="20" t="str">
        <f>IFERROR(LOOKUP(TimeLogTable[[#This Row],[Date]],Table44[Start Date],Table44[Week Of]),"")</f>
        <v>Week of 05/31/2021</v>
      </c>
      <c r="D124" s="41" t="str">
        <f>TEXT(TimeLogTable[[#This Row],[Date]],"dddd")</f>
        <v>Sunday</v>
      </c>
      <c r="E124" s="41" t="str">
        <f>IFERROR(LOOKUP(TimeLogTable[[#This Row],[Start
Time]],Table4[Start Time],Table4[Time of Day]),"")</f>
        <v>Afternoon</v>
      </c>
      <c r="F124" s="41" t="str">
        <f>IFERROR(INDEX(Projects[Productive],MATCH(TimeLogTable[[#This Row],[Task ID]],Projects[Task ID],0)),"")</f>
        <v>Productive Hours</v>
      </c>
      <c r="G124" s="61">
        <v>44353</v>
      </c>
      <c r="H124" s="41" t="s">
        <v>33</v>
      </c>
      <c r="I124" s="42" t="s">
        <v>79</v>
      </c>
      <c r="J124" s="43"/>
      <c r="K124" s="43" t="s">
        <v>64</v>
      </c>
      <c r="L124" s="19">
        <v>0.625</v>
      </c>
      <c r="M124" s="19"/>
      <c r="N124" s="19">
        <v>0.75</v>
      </c>
      <c r="O124" s="18"/>
      <c r="P124" s="16">
        <f t="shared" si="4"/>
        <v>3</v>
      </c>
      <c r="Q124" s="16" t="str">
        <f>IF(AND(TimeLogTable[[#This Row],[Date]]&gt;=$M$8,TimeLogTable[[#This Row],[Date]]&lt;=$M$9),"yes","no")</f>
        <v>no</v>
      </c>
    </row>
    <row r="125" spans="1:17">
      <c r="A125" s="20" t="str">
        <f>TEXT(TimeLogTable[[#This Row],[Date]], "yyyy")</f>
        <v>2021</v>
      </c>
      <c r="B125" s="20" t="str">
        <f>TEXT(TimeLogTable[[#This Row],[Date]], "mmm")</f>
        <v>Jun</v>
      </c>
      <c r="C125" s="20" t="str">
        <f>IFERROR(LOOKUP(TimeLogTable[[#This Row],[Date]],Table44[Start Date],Table44[Week Of]),"")</f>
        <v>Week of 06/07/2021</v>
      </c>
      <c r="D125" s="41" t="str">
        <f>TEXT(TimeLogTable[[#This Row],[Date]],"dddd")</f>
        <v>Monday</v>
      </c>
      <c r="E125" s="41" t="str">
        <f>IFERROR(LOOKUP(TimeLogTable[[#This Row],[Start
Time]],Table4[Start Time],Table4[Time of Day]),"")</f>
        <v>Evening</v>
      </c>
      <c r="F125" s="41" t="str">
        <f>IFERROR(INDEX(Projects[Productive],MATCH(TimeLogTable[[#This Row],[Task ID]],Projects[Task ID],0)),"")</f>
        <v>Wasted Hours</v>
      </c>
      <c r="G125" s="61">
        <v>44354</v>
      </c>
      <c r="H125" s="41" t="s">
        <v>49</v>
      </c>
      <c r="I125" s="42" t="s">
        <v>50</v>
      </c>
      <c r="J125" s="43"/>
      <c r="K125" s="43" t="s">
        <v>65</v>
      </c>
      <c r="L125" s="19">
        <v>0.75</v>
      </c>
      <c r="M125" s="19"/>
      <c r="N125" s="19">
        <v>0.79166666666666663</v>
      </c>
      <c r="O125" s="18"/>
      <c r="P125" s="16">
        <f t="shared" si="4"/>
        <v>1</v>
      </c>
      <c r="Q125" s="16" t="str">
        <f>IF(AND(TimeLogTable[[#This Row],[Date]]&gt;=$M$8,TimeLogTable[[#This Row],[Date]]&lt;=$M$9),"yes","no")</f>
        <v>no</v>
      </c>
    </row>
    <row r="126" spans="1:17">
      <c r="A126" s="20" t="str">
        <f>TEXT(TimeLogTable[[#This Row],[Date]], "yyyy")</f>
        <v>2021</v>
      </c>
      <c r="B126" s="20" t="str">
        <f>TEXT(TimeLogTable[[#This Row],[Date]], "mmm")</f>
        <v>Jun</v>
      </c>
      <c r="C126" s="20" t="str">
        <f>IFERROR(LOOKUP(TimeLogTable[[#This Row],[Date]],Table44[Start Date],Table44[Week Of]),"")</f>
        <v>Week of 06/07/2021</v>
      </c>
      <c r="D126" s="41" t="str">
        <f>TEXT(TimeLogTable[[#This Row],[Date]],"dddd")</f>
        <v>Tuesday</v>
      </c>
      <c r="E126" s="41" t="str">
        <f>IFERROR(LOOKUP(TimeLogTable[[#This Row],[Start
Time]],Table4[Start Time],Table4[Time of Day]),"")</f>
        <v>Evening</v>
      </c>
      <c r="F126" s="41" t="str">
        <f>IFERROR(INDEX(Projects[Productive],MATCH(TimeLogTable[[#This Row],[Task ID]],Projects[Task ID],0)),"")</f>
        <v>Wasted Hours</v>
      </c>
      <c r="G126" s="61">
        <v>44355</v>
      </c>
      <c r="H126" s="41" t="s">
        <v>26</v>
      </c>
      <c r="I126" s="42" t="s">
        <v>56</v>
      </c>
      <c r="J126" s="43"/>
      <c r="K126" s="43" t="s">
        <v>57</v>
      </c>
      <c r="L126" s="19">
        <v>0.79166666666666663</v>
      </c>
      <c r="M126" s="19"/>
      <c r="N126" s="19">
        <v>0.875</v>
      </c>
      <c r="O126" s="18"/>
      <c r="P126" s="16">
        <f t="shared" si="4"/>
        <v>2</v>
      </c>
      <c r="Q126" s="16" t="str">
        <f>IF(AND(TimeLogTable[[#This Row],[Date]]&gt;=$M$8,TimeLogTable[[#This Row],[Date]]&lt;=$M$9),"yes","no")</f>
        <v>no</v>
      </c>
    </row>
    <row r="127" spans="1:17">
      <c r="A127" s="20" t="str">
        <f>TEXT(TimeLogTable[[#This Row],[Date]], "yyyy")</f>
        <v>2021</v>
      </c>
      <c r="B127" s="20" t="str">
        <f>TEXT(TimeLogTable[[#This Row],[Date]], "mmm")</f>
        <v>Jun</v>
      </c>
      <c r="C127" s="20" t="str">
        <f>IFERROR(LOOKUP(TimeLogTable[[#This Row],[Date]],Table44[Start Date],Table44[Week Of]),"")</f>
        <v>Week of 06/07/2021</v>
      </c>
      <c r="D127" s="41" t="str">
        <f>TEXT(TimeLogTable[[#This Row],[Date]],"dddd")</f>
        <v>Wednesday</v>
      </c>
      <c r="E127" s="41" t="str">
        <f>IFERROR(LOOKUP(TimeLogTable[[#This Row],[Start
Time]],Table4[Start Time],Table4[Time of Day]),"")</f>
        <v>Late Evening</v>
      </c>
      <c r="F127" s="41" t="str">
        <f>IFERROR(INDEX(Projects[Productive],MATCH(TimeLogTable[[#This Row],[Task ID]],Projects[Task ID],0)),"")</f>
        <v>Productive Hours</v>
      </c>
      <c r="G127" s="61">
        <v>44356</v>
      </c>
      <c r="H127" s="41" t="s">
        <v>107</v>
      </c>
      <c r="I127" s="42" t="s">
        <v>45</v>
      </c>
      <c r="J127" s="43"/>
      <c r="K127" s="42"/>
      <c r="L127" s="19">
        <v>0.875</v>
      </c>
      <c r="M127" s="19"/>
      <c r="N127" s="19">
        <v>0.25</v>
      </c>
      <c r="O127" s="18"/>
      <c r="P127" s="16">
        <f t="shared" si="4"/>
        <v>9</v>
      </c>
      <c r="Q127" s="16" t="str">
        <f>IF(AND(TimeLogTable[[#This Row],[Date]]&gt;=$M$8,TimeLogTable[[#This Row],[Date]]&lt;=$M$9),"yes","no")</f>
        <v>no</v>
      </c>
    </row>
    <row r="128" spans="1:17">
      <c r="A128" s="20" t="str">
        <f>TEXT(TimeLogTable[[#This Row],[Date]], "yyyy")</f>
        <v>2021</v>
      </c>
      <c r="B128" s="20" t="str">
        <f>TEXT(TimeLogTable[[#This Row],[Date]], "mmm")</f>
        <v>Jun</v>
      </c>
      <c r="C128" s="20" t="str">
        <f>IFERROR(LOOKUP(TimeLogTable[[#This Row],[Date]],Table44[Start Date],Table44[Week Of]),"")</f>
        <v>Week of 06/07/2021</v>
      </c>
      <c r="D128" s="41" t="str">
        <f>TEXT(TimeLogTable[[#This Row],[Date]],"dddd")</f>
        <v>Thursday</v>
      </c>
      <c r="E128" s="41" t="str">
        <f>IFERROR(LOOKUP(TimeLogTable[[#This Row],[Start
Time]],Table4[Start Time],Table4[Time of Day]),"")</f>
        <v>Afternoon</v>
      </c>
      <c r="F128" s="41" t="str">
        <f>IFERROR(INDEX(Projects[Productive],MATCH(TimeLogTable[[#This Row],[Task ID]],Projects[Task ID],0)),"")</f>
        <v>Wasted Hours</v>
      </c>
      <c r="G128" s="61">
        <v>44357</v>
      </c>
      <c r="H128" s="41" t="s">
        <v>49</v>
      </c>
      <c r="I128" s="42" t="s">
        <v>50</v>
      </c>
      <c r="J128" s="43"/>
      <c r="K128" s="43" t="s">
        <v>52</v>
      </c>
      <c r="L128" s="19">
        <v>0.70416666666666661</v>
      </c>
      <c r="M128" s="19"/>
      <c r="N128" s="19">
        <v>0.72499999999999998</v>
      </c>
      <c r="O128" s="18"/>
      <c r="P128" s="16">
        <f t="shared" si="4"/>
        <v>0.5</v>
      </c>
      <c r="Q128" s="16" t="str">
        <f>IF(AND(TimeLogTable[[#This Row],[Date]]&gt;=$M$8,TimeLogTable[[#This Row],[Date]]&lt;=$M$9),"yes","no")</f>
        <v>no</v>
      </c>
    </row>
    <row r="129" spans="1:17">
      <c r="A129" s="20" t="str">
        <f>TEXT(TimeLogTable[[#This Row],[Date]], "yyyy")</f>
        <v>2021</v>
      </c>
      <c r="B129" s="20" t="str">
        <f>TEXT(TimeLogTable[[#This Row],[Date]], "mmm")</f>
        <v>Jun</v>
      </c>
      <c r="C129" s="20" t="str">
        <f>IFERROR(LOOKUP(TimeLogTable[[#This Row],[Date]],Table44[Start Date],Table44[Week Of]),"")</f>
        <v>Week of 06/07/2021</v>
      </c>
      <c r="D129" s="41" t="str">
        <f>TEXT(TimeLogTable[[#This Row],[Date]],"dddd")</f>
        <v>Friday</v>
      </c>
      <c r="E129" s="41" t="str">
        <f>IFERROR(LOOKUP(TimeLogTable[[#This Row],[Start
Time]],Table4[Start Time],Table4[Time of Day]),"")</f>
        <v>Afternoon</v>
      </c>
      <c r="F129" s="41" t="str">
        <f>IFERROR(INDEX(Projects[Productive],MATCH(TimeLogTable[[#This Row],[Task ID]],Projects[Task ID],0)),"")</f>
        <v>Productive Hours</v>
      </c>
      <c r="G129" s="61">
        <v>44358</v>
      </c>
      <c r="H129" s="41" t="s">
        <v>33</v>
      </c>
      <c r="I129" s="42" t="s">
        <v>78</v>
      </c>
      <c r="J129" s="43"/>
      <c r="K129" s="43" t="s">
        <v>53</v>
      </c>
      <c r="L129" s="19">
        <v>0.72499999999999998</v>
      </c>
      <c r="M129" s="19"/>
      <c r="N129" s="39">
        <v>0.91666666666666663</v>
      </c>
      <c r="O129" s="18"/>
      <c r="P129" s="16">
        <f t="shared" si="4"/>
        <v>4.5999999999999996</v>
      </c>
      <c r="Q129" s="16" t="str">
        <f>IF(AND(TimeLogTable[[#This Row],[Date]]&gt;=$M$8,TimeLogTable[[#This Row],[Date]]&lt;=$M$9),"yes","no")</f>
        <v>no</v>
      </c>
    </row>
    <row r="130" spans="1:17">
      <c r="A130" s="20" t="str">
        <f>TEXT(TimeLogTable[[#This Row],[Date]], "yyyy")</f>
        <v>2021</v>
      </c>
      <c r="B130" s="20" t="str">
        <f>TEXT(TimeLogTable[[#This Row],[Date]], "mmm")</f>
        <v>Jun</v>
      </c>
      <c r="C130" s="20" t="str">
        <f>IFERROR(LOOKUP(TimeLogTable[[#This Row],[Date]],Table44[Start Date],Table44[Week Of]),"")</f>
        <v>Week of 06/07/2021</v>
      </c>
      <c r="D130" s="41" t="str">
        <f>TEXT(TimeLogTable[[#This Row],[Date]],"dddd")</f>
        <v>Saturday</v>
      </c>
      <c r="E130" s="41" t="str">
        <f>IFERROR(LOOKUP(TimeLogTable[[#This Row],[Start
Time]],Table4[Start Time],Table4[Time of Day]),"")</f>
        <v>Late Evening</v>
      </c>
      <c r="F130" s="41" t="str">
        <f>IFERROR(INDEX(Projects[Productive],MATCH(TimeLogTable[[#This Row],[Task ID]],Projects[Task ID],0)),"")</f>
        <v>Wasted Hours</v>
      </c>
      <c r="G130" s="61">
        <v>44359</v>
      </c>
      <c r="H130" s="41" t="s">
        <v>49</v>
      </c>
      <c r="I130" s="42" t="s">
        <v>50</v>
      </c>
      <c r="J130" s="43"/>
      <c r="K130" s="43" t="s">
        <v>54</v>
      </c>
      <c r="L130" s="39">
        <v>0.91666666666666663</v>
      </c>
      <c r="M130" s="19"/>
      <c r="N130" s="19">
        <v>0.9375</v>
      </c>
      <c r="O130" s="18"/>
      <c r="P130" s="16">
        <f t="shared" si="4"/>
        <v>0.5</v>
      </c>
      <c r="Q130" s="16" t="str">
        <f>IF(AND(TimeLogTable[[#This Row],[Date]]&gt;=$M$8,TimeLogTable[[#This Row],[Date]]&lt;=$M$9),"yes","no")</f>
        <v>no</v>
      </c>
    </row>
    <row r="131" spans="1:17">
      <c r="A131" s="20" t="str">
        <f>TEXT(TimeLogTable[[#This Row],[Date]], "yyyy")</f>
        <v>2021</v>
      </c>
      <c r="B131" s="20" t="str">
        <f>TEXT(TimeLogTable[[#This Row],[Date]], "mmm")</f>
        <v>Jun</v>
      </c>
      <c r="C131" s="20" t="str">
        <f>IFERROR(LOOKUP(TimeLogTable[[#This Row],[Date]],Table44[Start Date],Table44[Week Of]),"")</f>
        <v>Week of 06/07/2021</v>
      </c>
      <c r="D131" s="41" t="str">
        <f>TEXT(TimeLogTable[[#This Row],[Date]],"dddd")</f>
        <v>Sunday</v>
      </c>
      <c r="E131" s="41" t="str">
        <f>IFERROR(LOOKUP(TimeLogTable[[#This Row],[Start
Time]],Table4[Start Time],Table4[Time of Day]),"")</f>
        <v>Late Evening</v>
      </c>
      <c r="F131" s="41" t="str">
        <f>IFERROR(INDEX(Projects[Productive],MATCH(TimeLogTable[[#This Row],[Task ID]],Projects[Task ID],0)),"")</f>
        <v>Productive Hours</v>
      </c>
      <c r="G131" s="61">
        <v>44360</v>
      </c>
      <c r="H131" s="41" t="s">
        <v>107</v>
      </c>
      <c r="I131" s="42" t="s">
        <v>45</v>
      </c>
      <c r="J131" s="43"/>
      <c r="K131" s="42"/>
      <c r="L131" s="19">
        <v>0.9375</v>
      </c>
      <c r="M131" s="19"/>
      <c r="N131" s="22">
        <v>0.25</v>
      </c>
      <c r="O131" s="18"/>
      <c r="P131" s="16">
        <f t="shared" si="4"/>
        <v>7.5</v>
      </c>
      <c r="Q131" s="16" t="str">
        <f>IF(AND(TimeLogTable[[#This Row],[Date]]&gt;=$M$8,TimeLogTable[[#This Row],[Date]]&lt;=$M$9),"yes","no")</f>
        <v>no</v>
      </c>
    </row>
    <row r="132" spans="1:17">
      <c r="A132" s="20" t="str">
        <f>TEXT(TimeLogTable[[#This Row],[Date]], "yyyy")</f>
        <v>2021</v>
      </c>
      <c r="B132" s="20" t="str">
        <f>TEXT(TimeLogTable[[#This Row],[Date]], "mmm")</f>
        <v>Jun</v>
      </c>
      <c r="C132" s="20" t="str">
        <f>IFERROR(LOOKUP(TimeLogTable[[#This Row],[Date]],Table44[Start Date],Table44[Week Of]),"")</f>
        <v>Week of 06/14/2021</v>
      </c>
      <c r="D132" s="41" t="str">
        <f>TEXT(TimeLogTable[[#This Row],[Date]],"dddd")</f>
        <v>Monday</v>
      </c>
      <c r="E132" s="41" t="str">
        <f>IFERROR(LOOKUP(TimeLogTable[[#This Row],[Start
Time]],Table4[Start Time],Table4[Time of Day]),"")</f>
        <v>Early Morning</v>
      </c>
      <c r="F132" s="41" t="str">
        <f>IFERROR(INDEX(Projects[Productive],MATCH(TimeLogTable[[#This Row],[Task ID]],Projects[Task ID],0)),"")</f>
        <v>Productive Hours</v>
      </c>
      <c r="G132" s="61">
        <v>44361</v>
      </c>
      <c r="H132" s="41" t="s">
        <v>29</v>
      </c>
      <c r="I132" s="42" t="s">
        <v>28</v>
      </c>
      <c r="J132" s="43"/>
      <c r="K132" s="43" t="s">
        <v>59</v>
      </c>
      <c r="L132" s="19">
        <v>0.29166666666666669</v>
      </c>
      <c r="M132" s="19"/>
      <c r="N132" s="19">
        <v>0.32291666666666669</v>
      </c>
      <c r="O132" s="18"/>
      <c r="P132" s="16">
        <f t="shared" si="4"/>
        <v>0.75</v>
      </c>
      <c r="Q132" s="16" t="str">
        <f>IF(AND(TimeLogTable[[#This Row],[Date]]&gt;=$M$8,TimeLogTable[[#This Row],[Date]]&lt;=$M$9),"yes","no")</f>
        <v>no</v>
      </c>
    </row>
    <row r="133" spans="1:17">
      <c r="A133" s="20" t="str">
        <f>TEXT(TimeLogTable[[#This Row],[Date]], "yyyy")</f>
        <v>2021</v>
      </c>
      <c r="B133" s="20" t="str">
        <f>TEXT(TimeLogTable[[#This Row],[Date]], "mmm")</f>
        <v>Jun</v>
      </c>
      <c r="C133" s="20" t="str">
        <f>IFERROR(LOOKUP(TimeLogTable[[#This Row],[Date]],Table44[Start Date],Table44[Week Of]),"")</f>
        <v>Week of 06/14/2021</v>
      </c>
      <c r="D133" s="41" t="str">
        <f>TEXT(TimeLogTable[[#This Row],[Date]],"dddd")</f>
        <v>Tuesday</v>
      </c>
      <c r="E133" s="41" t="str">
        <f>IFERROR(LOOKUP(TimeLogTable[[#This Row],[Start
Time]],Table4[Start Time],Table4[Time of Day]),"")</f>
        <v>Early Morning</v>
      </c>
      <c r="F133" s="41" t="str">
        <f>IFERROR(INDEX(Projects[Productive],MATCH(TimeLogTable[[#This Row],[Task ID]],Projects[Task ID],0)),"")</f>
        <v>Productive Hours</v>
      </c>
      <c r="G133" s="61">
        <v>44362</v>
      </c>
      <c r="H133" s="41" t="s">
        <v>29</v>
      </c>
      <c r="I133" s="42" t="s">
        <v>32</v>
      </c>
      <c r="J133" s="43"/>
      <c r="K133" s="43" t="s">
        <v>58</v>
      </c>
      <c r="L133" s="19">
        <v>0.32291666666666669</v>
      </c>
      <c r="M133" s="19"/>
      <c r="N133" s="19">
        <v>0.33333333333333331</v>
      </c>
      <c r="O133" s="18"/>
      <c r="P133" s="16">
        <f t="shared" si="4"/>
        <v>0.25</v>
      </c>
      <c r="Q133" s="16" t="str">
        <f>IF(AND(TimeLogTable[[#This Row],[Date]]&gt;=$M$8,TimeLogTable[[#This Row],[Date]]&lt;=$M$9),"yes","no")</f>
        <v>no</v>
      </c>
    </row>
    <row r="134" spans="1:17">
      <c r="A134" s="20" t="str">
        <f>TEXT(TimeLogTable[[#This Row],[Date]], "yyyy")</f>
        <v>2021</v>
      </c>
      <c r="B134" s="20" t="str">
        <f>TEXT(TimeLogTable[[#This Row],[Date]], "mmm")</f>
        <v>Jun</v>
      </c>
      <c r="C134" s="20" t="str">
        <f>IFERROR(LOOKUP(TimeLogTable[[#This Row],[Date]],Table44[Start Date],Table44[Week Of]),"")</f>
        <v>Week of 06/14/2021</v>
      </c>
      <c r="D134" s="41" t="str">
        <f>TEXT(TimeLogTable[[#This Row],[Date]],"dddd")</f>
        <v>Wednesday</v>
      </c>
      <c r="E134" s="41" t="str">
        <f>IFERROR(LOOKUP(TimeLogTable[[#This Row],[Start
Time]],Table4[Start Time],Table4[Time of Day]),"")</f>
        <v>Early Morning</v>
      </c>
      <c r="F134" s="41" t="str">
        <f>IFERROR(INDEX(Projects[Productive],MATCH(TimeLogTable[[#This Row],[Task ID]],Projects[Task ID],0)),"")</f>
        <v>Productive Hours</v>
      </c>
      <c r="G134" s="61">
        <v>44363</v>
      </c>
      <c r="H134" s="41" t="s">
        <v>33</v>
      </c>
      <c r="I134" s="42" t="s">
        <v>78</v>
      </c>
      <c r="J134" s="43"/>
      <c r="K134" s="43" t="s">
        <v>60</v>
      </c>
      <c r="L134" s="19">
        <v>0.33333333333333331</v>
      </c>
      <c r="M134" s="19"/>
      <c r="N134" s="19">
        <v>0.34375</v>
      </c>
      <c r="O134" s="18"/>
      <c r="P134" s="16">
        <f t="shared" si="4"/>
        <v>0.25</v>
      </c>
      <c r="Q134" s="16" t="str">
        <f>IF(AND(TimeLogTable[[#This Row],[Date]]&gt;=$M$8,TimeLogTable[[#This Row],[Date]]&lt;=$M$9),"yes","no")</f>
        <v>no</v>
      </c>
    </row>
    <row r="135" spans="1:17">
      <c r="A135" s="20" t="str">
        <f>TEXT(TimeLogTable[[#This Row],[Date]], "yyyy")</f>
        <v>2021</v>
      </c>
      <c r="B135" s="20" t="str">
        <f>TEXT(TimeLogTable[[#This Row],[Date]], "mmm")</f>
        <v>Jun</v>
      </c>
      <c r="C135" s="20" t="str">
        <f>IFERROR(LOOKUP(TimeLogTable[[#This Row],[Date]],Table44[Start Date],Table44[Week Of]),"")</f>
        <v>Week of 06/14/2021</v>
      </c>
      <c r="D135" s="41" t="str">
        <f>TEXT(TimeLogTable[[#This Row],[Date]],"dddd")</f>
        <v>Thursday</v>
      </c>
      <c r="E135" s="41" t="str">
        <f>IFERROR(LOOKUP(TimeLogTable[[#This Row],[Start
Time]],Table4[Start Time],Table4[Time of Day]),"")</f>
        <v>Early Morning</v>
      </c>
      <c r="F135" s="41" t="str">
        <f>IFERROR(INDEX(Projects[Productive],MATCH(TimeLogTable[[#This Row],[Task ID]],Projects[Task ID],0)),"")</f>
        <v>Wasted Hours</v>
      </c>
      <c r="G135" s="61">
        <v>44364</v>
      </c>
      <c r="H135" s="41" t="s">
        <v>49</v>
      </c>
      <c r="I135" s="42" t="s">
        <v>50</v>
      </c>
      <c r="J135" s="43"/>
      <c r="K135" s="43" t="s">
        <v>61</v>
      </c>
      <c r="L135" s="19">
        <v>0.34375</v>
      </c>
      <c r="M135" s="19"/>
      <c r="N135" s="19">
        <v>0.375</v>
      </c>
      <c r="O135" s="18"/>
      <c r="P135" s="16">
        <f t="shared" si="4"/>
        <v>0.75</v>
      </c>
      <c r="Q135" s="16" t="str">
        <f>IF(AND(TimeLogTable[[#This Row],[Date]]&gt;=$M$8,TimeLogTable[[#This Row],[Date]]&lt;=$M$9),"yes","no")</f>
        <v>no</v>
      </c>
    </row>
    <row r="136" spans="1:17">
      <c r="A136" s="20" t="str">
        <f>TEXT(TimeLogTable[[#This Row],[Date]], "yyyy")</f>
        <v>2021</v>
      </c>
      <c r="B136" s="20" t="str">
        <f>TEXT(TimeLogTable[[#This Row],[Date]], "mmm")</f>
        <v>Jun</v>
      </c>
      <c r="C136" s="20" t="str">
        <f>IFERROR(LOOKUP(TimeLogTable[[#This Row],[Date]],Table44[Start Date],Table44[Week Of]),"")</f>
        <v>Week of 06/14/2021</v>
      </c>
      <c r="D136" s="41" t="str">
        <f>TEXT(TimeLogTable[[#This Row],[Date]],"dddd")</f>
        <v>Friday</v>
      </c>
      <c r="E136" s="41" t="str">
        <f>IFERROR(LOOKUP(TimeLogTable[[#This Row],[Start
Time]],Table4[Start Time],Table4[Time of Day]),"")</f>
        <v>Morning</v>
      </c>
      <c r="F136" s="41" t="str">
        <f>IFERROR(INDEX(Projects[Productive],MATCH(TimeLogTable[[#This Row],[Task ID]],Projects[Task ID],0)),"")</f>
        <v>Productive Hours</v>
      </c>
      <c r="G136" s="61">
        <v>44365</v>
      </c>
      <c r="H136" s="41" t="s">
        <v>33</v>
      </c>
      <c r="I136" s="42" t="s">
        <v>79</v>
      </c>
      <c r="J136" s="43"/>
      <c r="K136" s="43" t="s">
        <v>62</v>
      </c>
      <c r="L136" s="19">
        <v>0.375</v>
      </c>
      <c r="M136" s="19"/>
      <c r="N136" s="19">
        <v>0.5</v>
      </c>
      <c r="O136" s="18"/>
      <c r="P136" s="16">
        <f t="shared" si="4"/>
        <v>3</v>
      </c>
      <c r="Q136" s="16" t="str">
        <f>IF(AND(TimeLogTable[[#This Row],[Date]]&gt;=$M$8,TimeLogTable[[#This Row],[Date]]&lt;=$M$9),"yes","no")</f>
        <v>no</v>
      </c>
    </row>
    <row r="137" spans="1:17">
      <c r="A137" s="20" t="str">
        <f>TEXT(TimeLogTable[[#This Row],[Date]], "yyyy")</f>
        <v>2021</v>
      </c>
      <c r="B137" s="20" t="str">
        <f>TEXT(TimeLogTable[[#This Row],[Date]], "mmm")</f>
        <v>Jun</v>
      </c>
      <c r="C137" s="20" t="str">
        <f>IFERROR(LOOKUP(TimeLogTable[[#This Row],[Date]],Table44[Start Date],Table44[Week Of]),"")</f>
        <v>Week of 06/14/2021</v>
      </c>
      <c r="D137" s="41" t="str">
        <f>TEXT(TimeLogTable[[#This Row],[Date]],"dddd")</f>
        <v>Saturday</v>
      </c>
      <c r="E137" s="41" t="str">
        <f>IFERROR(LOOKUP(TimeLogTable[[#This Row],[Start
Time]],Table4[Start Time],Table4[Time of Day]),"")</f>
        <v>Afternoon</v>
      </c>
      <c r="F137" s="41" t="str">
        <f>IFERROR(INDEX(Projects[Productive],MATCH(TimeLogTable[[#This Row],[Task ID]],Projects[Task ID],0)),"")</f>
        <v>Wasted Hours</v>
      </c>
      <c r="G137" s="61">
        <v>44366</v>
      </c>
      <c r="H137" s="41" t="s">
        <v>38</v>
      </c>
      <c r="I137" s="42" t="s">
        <v>39</v>
      </c>
      <c r="J137" s="43"/>
      <c r="K137" s="43" t="s">
        <v>63</v>
      </c>
      <c r="L137" s="19">
        <v>0.5</v>
      </c>
      <c r="M137" s="19"/>
      <c r="N137" s="19">
        <v>0.625</v>
      </c>
      <c r="O137" s="18"/>
      <c r="P137" s="16">
        <f t="shared" si="4"/>
        <v>3</v>
      </c>
      <c r="Q137" s="16" t="str">
        <f>IF(AND(TimeLogTable[[#This Row],[Date]]&gt;=$M$8,TimeLogTable[[#This Row],[Date]]&lt;=$M$9),"yes","no")</f>
        <v>no</v>
      </c>
    </row>
    <row r="138" spans="1:17">
      <c r="A138" s="20" t="str">
        <f>TEXT(TimeLogTable[[#This Row],[Date]], "yyyy")</f>
        <v>2021</v>
      </c>
      <c r="B138" s="20" t="str">
        <f>TEXT(TimeLogTable[[#This Row],[Date]], "mmm")</f>
        <v>Jun</v>
      </c>
      <c r="C138" s="20" t="str">
        <f>IFERROR(LOOKUP(TimeLogTable[[#This Row],[Date]],Table44[Start Date],Table44[Week Of]),"")</f>
        <v>Week of 06/14/2021</v>
      </c>
      <c r="D138" s="41" t="str">
        <f>TEXT(TimeLogTable[[#This Row],[Date]],"dddd")</f>
        <v>Sunday</v>
      </c>
      <c r="E138" s="41" t="str">
        <f>IFERROR(LOOKUP(TimeLogTable[[#This Row],[Start
Time]],Table4[Start Time],Table4[Time of Day]),"")</f>
        <v>Afternoon</v>
      </c>
      <c r="F138" s="41" t="str">
        <f>IFERROR(INDEX(Projects[Productive],MATCH(TimeLogTable[[#This Row],[Task ID]],Projects[Task ID],0)),"")</f>
        <v>Productive Hours</v>
      </c>
      <c r="G138" s="61">
        <v>44367</v>
      </c>
      <c r="H138" s="41" t="s">
        <v>33</v>
      </c>
      <c r="I138" s="42" t="s">
        <v>79</v>
      </c>
      <c r="J138" s="43"/>
      <c r="K138" s="43" t="s">
        <v>64</v>
      </c>
      <c r="L138" s="19">
        <v>0.625</v>
      </c>
      <c r="M138" s="19"/>
      <c r="N138" s="19">
        <v>0.75</v>
      </c>
      <c r="O138" s="18"/>
      <c r="P138" s="16">
        <f t="shared" si="4"/>
        <v>3</v>
      </c>
      <c r="Q138" s="16" t="str">
        <f>IF(AND(TimeLogTable[[#This Row],[Date]]&gt;=$M$8,TimeLogTable[[#This Row],[Date]]&lt;=$M$9),"yes","no")</f>
        <v>no</v>
      </c>
    </row>
    <row r="139" spans="1:17">
      <c r="A139" s="20" t="str">
        <f>TEXT(TimeLogTable[[#This Row],[Date]], "yyyy")</f>
        <v>2021</v>
      </c>
      <c r="B139" s="20" t="str">
        <f>TEXT(TimeLogTable[[#This Row],[Date]], "mmm")</f>
        <v>Jun</v>
      </c>
      <c r="C139" s="20" t="str">
        <f>IFERROR(LOOKUP(TimeLogTable[[#This Row],[Date]],Table44[Start Date],Table44[Week Of]),"")</f>
        <v>Week of 06/21/2021</v>
      </c>
      <c r="D139" s="41" t="str">
        <f>TEXT(TimeLogTable[[#This Row],[Date]],"dddd")</f>
        <v>Monday</v>
      </c>
      <c r="E139" s="41" t="str">
        <f>IFERROR(LOOKUP(TimeLogTable[[#This Row],[Start
Time]],Table4[Start Time],Table4[Time of Day]),"")</f>
        <v>Evening</v>
      </c>
      <c r="F139" s="41" t="str">
        <f>IFERROR(INDEX(Projects[Productive],MATCH(TimeLogTable[[#This Row],[Task ID]],Projects[Task ID],0)),"")</f>
        <v>Wasted Hours</v>
      </c>
      <c r="G139" s="61">
        <v>44368</v>
      </c>
      <c r="H139" s="41" t="s">
        <v>49</v>
      </c>
      <c r="I139" s="42" t="s">
        <v>50</v>
      </c>
      <c r="J139" s="43"/>
      <c r="K139" s="43" t="s">
        <v>65</v>
      </c>
      <c r="L139" s="19">
        <v>0.75</v>
      </c>
      <c r="M139" s="19"/>
      <c r="N139" s="19">
        <v>0.79166666666666663</v>
      </c>
      <c r="O139" s="18"/>
      <c r="P139" s="16">
        <f t="shared" si="4"/>
        <v>1</v>
      </c>
      <c r="Q139" s="16" t="str">
        <f>IF(AND(TimeLogTable[[#This Row],[Date]]&gt;=$M$8,TimeLogTable[[#This Row],[Date]]&lt;=$M$9),"yes","no")</f>
        <v>no</v>
      </c>
    </row>
    <row r="140" spans="1:17">
      <c r="A140" s="20" t="str">
        <f>TEXT(TimeLogTable[[#This Row],[Date]], "yyyy")</f>
        <v>2021</v>
      </c>
      <c r="B140" s="20" t="str">
        <f>TEXT(TimeLogTable[[#This Row],[Date]], "mmm")</f>
        <v>Jun</v>
      </c>
      <c r="C140" s="20" t="str">
        <f>IFERROR(LOOKUP(TimeLogTable[[#This Row],[Date]],Table44[Start Date],Table44[Week Of]),"")</f>
        <v>Week of 06/21/2021</v>
      </c>
      <c r="D140" s="41" t="str">
        <f>TEXT(TimeLogTable[[#This Row],[Date]],"dddd")</f>
        <v>Tuesday</v>
      </c>
      <c r="E140" s="41" t="str">
        <f>IFERROR(LOOKUP(TimeLogTable[[#This Row],[Start
Time]],Table4[Start Time],Table4[Time of Day]),"")</f>
        <v>Evening</v>
      </c>
      <c r="F140" s="41" t="str">
        <f>IFERROR(INDEX(Projects[Productive],MATCH(TimeLogTable[[#This Row],[Task ID]],Projects[Task ID],0)),"")</f>
        <v>Wasted Hours</v>
      </c>
      <c r="G140" s="61">
        <v>44369</v>
      </c>
      <c r="H140" s="41" t="s">
        <v>26</v>
      </c>
      <c r="I140" s="42" t="s">
        <v>56</v>
      </c>
      <c r="J140" s="43"/>
      <c r="K140" s="43" t="s">
        <v>57</v>
      </c>
      <c r="L140" s="19">
        <v>0.79166666666666663</v>
      </c>
      <c r="M140" s="19"/>
      <c r="N140" s="19">
        <v>0.875</v>
      </c>
      <c r="O140" s="18"/>
      <c r="P140" s="16">
        <f t="shared" si="4"/>
        <v>2</v>
      </c>
      <c r="Q140" s="16" t="str">
        <f>IF(AND(TimeLogTable[[#This Row],[Date]]&gt;=$M$8,TimeLogTable[[#This Row],[Date]]&lt;=$M$9),"yes","no")</f>
        <v>no</v>
      </c>
    </row>
    <row r="141" spans="1:17">
      <c r="A141" s="20" t="str">
        <f>TEXT(TimeLogTable[[#This Row],[Date]], "yyyy")</f>
        <v>2021</v>
      </c>
      <c r="B141" s="20" t="str">
        <f>TEXT(TimeLogTable[[#This Row],[Date]], "mmm")</f>
        <v>Jun</v>
      </c>
      <c r="C141" s="20" t="str">
        <f>IFERROR(LOOKUP(TimeLogTable[[#This Row],[Date]],Table44[Start Date],Table44[Week Of]),"")</f>
        <v>Week of 06/21/2021</v>
      </c>
      <c r="D141" s="41" t="str">
        <f>TEXT(TimeLogTable[[#This Row],[Date]],"dddd")</f>
        <v>Wednesday</v>
      </c>
      <c r="E141" s="41" t="str">
        <f>IFERROR(LOOKUP(TimeLogTable[[#This Row],[Start
Time]],Table4[Start Time],Table4[Time of Day]),"")</f>
        <v>Late Evening</v>
      </c>
      <c r="F141" s="41" t="str">
        <f>IFERROR(INDEX(Projects[Productive],MATCH(TimeLogTable[[#This Row],[Task ID]],Projects[Task ID],0)),"")</f>
        <v>Productive Hours</v>
      </c>
      <c r="G141" s="61">
        <v>44370</v>
      </c>
      <c r="H141" s="41" t="s">
        <v>107</v>
      </c>
      <c r="I141" s="42" t="s">
        <v>45</v>
      </c>
      <c r="J141" s="43"/>
      <c r="K141" s="42"/>
      <c r="L141" s="19">
        <v>0.875</v>
      </c>
      <c r="M141" s="19"/>
      <c r="N141" s="19">
        <v>0.25</v>
      </c>
      <c r="O141" s="18"/>
      <c r="P141" s="16">
        <f t="shared" si="4"/>
        <v>9</v>
      </c>
      <c r="Q141" s="16" t="str">
        <f>IF(AND(TimeLogTable[[#This Row],[Date]]&gt;=$M$8,TimeLogTable[[#This Row],[Date]]&lt;=$M$9),"yes","no")</f>
        <v>no</v>
      </c>
    </row>
    <row r="142" spans="1:17">
      <c r="A142" s="20" t="str">
        <f>TEXT(TimeLogTable[[#This Row],[Date]], "yyyy")</f>
        <v>2021</v>
      </c>
      <c r="B142" s="20" t="str">
        <f>TEXT(TimeLogTable[[#This Row],[Date]], "mmm")</f>
        <v>Jun</v>
      </c>
      <c r="C142" s="20" t="str">
        <f>IFERROR(LOOKUP(TimeLogTable[[#This Row],[Date]],Table44[Start Date],Table44[Week Of]),"")</f>
        <v>Week of 06/21/2021</v>
      </c>
      <c r="D142" s="41" t="str">
        <f>TEXT(TimeLogTable[[#This Row],[Date]],"dddd")</f>
        <v>Thursday</v>
      </c>
      <c r="E142" s="41" t="str">
        <f>IFERROR(LOOKUP(TimeLogTable[[#This Row],[Start
Time]],Table4[Start Time],Table4[Time of Day]),"")</f>
        <v>Afternoon</v>
      </c>
      <c r="F142" s="41" t="str">
        <f>IFERROR(INDEX(Projects[Productive],MATCH(TimeLogTable[[#This Row],[Task ID]],Projects[Task ID],0)),"")</f>
        <v>Wasted Hours</v>
      </c>
      <c r="G142" s="61">
        <v>44371</v>
      </c>
      <c r="H142" s="41" t="s">
        <v>49</v>
      </c>
      <c r="I142" s="42" t="s">
        <v>50</v>
      </c>
      <c r="J142" s="43"/>
      <c r="K142" s="43" t="s">
        <v>52</v>
      </c>
      <c r="L142" s="19">
        <v>0.70416666666666661</v>
      </c>
      <c r="M142" s="19"/>
      <c r="N142" s="19">
        <v>0.72499999999999998</v>
      </c>
      <c r="O142" s="18"/>
      <c r="P142" s="16">
        <f t="shared" ref="P142:P173" si="5">O142/60+ROUND(IF((OR(L142="",N142="")),0,IF((N142&lt;L142),((N142-L142)*24)+24,(N142-L142)*24)-M142/60),2)</f>
        <v>0.5</v>
      </c>
      <c r="Q142" s="16" t="str">
        <f>IF(AND(TimeLogTable[[#This Row],[Date]]&gt;=$M$8,TimeLogTable[[#This Row],[Date]]&lt;=$M$9),"yes","no")</f>
        <v>no</v>
      </c>
    </row>
    <row r="143" spans="1:17">
      <c r="A143" s="20" t="str">
        <f>TEXT(TimeLogTable[[#This Row],[Date]], "yyyy")</f>
        <v>2021</v>
      </c>
      <c r="B143" s="20" t="str">
        <f>TEXT(TimeLogTable[[#This Row],[Date]], "mmm")</f>
        <v>Jun</v>
      </c>
      <c r="C143" s="20" t="str">
        <f>IFERROR(LOOKUP(TimeLogTable[[#This Row],[Date]],Table44[Start Date],Table44[Week Of]),"")</f>
        <v>Week of 06/21/2021</v>
      </c>
      <c r="D143" s="41" t="str">
        <f>TEXT(TimeLogTable[[#This Row],[Date]],"dddd")</f>
        <v>Friday</v>
      </c>
      <c r="E143" s="41" t="str">
        <f>IFERROR(LOOKUP(TimeLogTable[[#This Row],[Start
Time]],Table4[Start Time],Table4[Time of Day]),"")</f>
        <v>Afternoon</v>
      </c>
      <c r="F143" s="41" t="str">
        <f>IFERROR(INDEX(Projects[Productive],MATCH(TimeLogTable[[#This Row],[Task ID]],Projects[Task ID],0)),"")</f>
        <v>Productive Hours</v>
      </c>
      <c r="G143" s="61">
        <v>44372</v>
      </c>
      <c r="H143" s="41" t="s">
        <v>33</v>
      </c>
      <c r="I143" s="42" t="s">
        <v>78</v>
      </c>
      <c r="J143" s="43"/>
      <c r="K143" s="43" t="s">
        <v>53</v>
      </c>
      <c r="L143" s="19">
        <v>0.72499999999999998</v>
      </c>
      <c r="M143" s="19"/>
      <c r="N143" s="39">
        <v>0.91666666666666663</v>
      </c>
      <c r="O143" s="18"/>
      <c r="P143" s="16">
        <f t="shared" si="5"/>
        <v>4.5999999999999996</v>
      </c>
      <c r="Q143" s="16" t="str">
        <f>IF(AND(TimeLogTable[[#This Row],[Date]]&gt;=$M$8,TimeLogTable[[#This Row],[Date]]&lt;=$M$9),"yes","no")</f>
        <v>no</v>
      </c>
    </row>
    <row r="144" spans="1:17">
      <c r="A144" s="20" t="str">
        <f>TEXT(TimeLogTable[[#This Row],[Date]], "yyyy")</f>
        <v>2021</v>
      </c>
      <c r="B144" s="20" t="str">
        <f>TEXT(TimeLogTable[[#This Row],[Date]], "mmm")</f>
        <v>Jun</v>
      </c>
      <c r="C144" s="20" t="str">
        <f>IFERROR(LOOKUP(TimeLogTable[[#This Row],[Date]],Table44[Start Date],Table44[Week Of]),"")</f>
        <v>Week of 06/21/2021</v>
      </c>
      <c r="D144" s="41" t="str">
        <f>TEXT(TimeLogTable[[#This Row],[Date]],"dddd")</f>
        <v>Saturday</v>
      </c>
      <c r="E144" s="41" t="str">
        <f>IFERROR(LOOKUP(TimeLogTable[[#This Row],[Start
Time]],Table4[Start Time],Table4[Time of Day]),"")</f>
        <v>Late Evening</v>
      </c>
      <c r="F144" s="41" t="str">
        <f>IFERROR(INDEX(Projects[Productive],MATCH(TimeLogTable[[#This Row],[Task ID]],Projects[Task ID],0)),"")</f>
        <v>Wasted Hours</v>
      </c>
      <c r="G144" s="61">
        <v>44373</v>
      </c>
      <c r="H144" s="41" t="s">
        <v>49</v>
      </c>
      <c r="I144" s="42" t="s">
        <v>50</v>
      </c>
      <c r="J144" s="43"/>
      <c r="K144" s="43" t="s">
        <v>54</v>
      </c>
      <c r="L144" s="39">
        <v>0.91666666666666663</v>
      </c>
      <c r="M144" s="19"/>
      <c r="N144" s="19">
        <v>0.9375</v>
      </c>
      <c r="O144" s="18"/>
      <c r="P144" s="16">
        <f t="shared" si="5"/>
        <v>0.5</v>
      </c>
      <c r="Q144" s="16" t="str">
        <f>IF(AND(TimeLogTable[[#This Row],[Date]]&gt;=$M$8,TimeLogTable[[#This Row],[Date]]&lt;=$M$9),"yes","no")</f>
        <v>no</v>
      </c>
    </row>
    <row r="145" spans="1:17">
      <c r="A145" s="20" t="str">
        <f>TEXT(TimeLogTable[[#This Row],[Date]], "yyyy")</f>
        <v>2021</v>
      </c>
      <c r="B145" s="20" t="str">
        <f>TEXT(TimeLogTable[[#This Row],[Date]], "mmm")</f>
        <v>Jun</v>
      </c>
      <c r="C145" s="20" t="str">
        <f>IFERROR(LOOKUP(TimeLogTable[[#This Row],[Date]],Table44[Start Date],Table44[Week Of]),"")</f>
        <v>Week of 06/21/2021</v>
      </c>
      <c r="D145" s="41" t="str">
        <f>TEXT(TimeLogTable[[#This Row],[Date]],"dddd")</f>
        <v>Sunday</v>
      </c>
      <c r="E145" s="41" t="str">
        <f>IFERROR(LOOKUP(TimeLogTable[[#This Row],[Start
Time]],Table4[Start Time],Table4[Time of Day]),"")</f>
        <v>Late Evening</v>
      </c>
      <c r="F145" s="41" t="str">
        <f>IFERROR(INDEX(Projects[Productive],MATCH(TimeLogTable[[#This Row],[Task ID]],Projects[Task ID],0)),"")</f>
        <v>Productive Hours</v>
      </c>
      <c r="G145" s="61">
        <v>44374</v>
      </c>
      <c r="H145" s="41" t="s">
        <v>107</v>
      </c>
      <c r="I145" s="42" t="s">
        <v>45</v>
      </c>
      <c r="J145" s="43"/>
      <c r="K145" s="42"/>
      <c r="L145" s="19">
        <v>0.9375</v>
      </c>
      <c r="M145" s="19"/>
      <c r="N145" s="22">
        <v>0.25</v>
      </c>
      <c r="O145" s="18"/>
      <c r="P145" s="16">
        <f t="shared" si="5"/>
        <v>7.5</v>
      </c>
      <c r="Q145" s="16" t="str">
        <f>IF(AND(TimeLogTable[[#This Row],[Date]]&gt;=$M$8,TimeLogTable[[#This Row],[Date]]&lt;=$M$9),"yes","no")</f>
        <v>no</v>
      </c>
    </row>
    <row r="146" spans="1:17">
      <c r="A146" s="20" t="str">
        <f>TEXT(TimeLogTable[[#This Row],[Date]], "yyyy")</f>
        <v>2021</v>
      </c>
      <c r="B146" s="20" t="str">
        <f>TEXT(TimeLogTable[[#This Row],[Date]], "mmm")</f>
        <v>Jun</v>
      </c>
      <c r="C146" s="20" t="str">
        <f>IFERROR(LOOKUP(TimeLogTable[[#This Row],[Date]],Table44[Start Date],Table44[Week Of]),"")</f>
        <v>Week of 06/28/2021</v>
      </c>
      <c r="D146" s="41" t="str">
        <f>TEXT(TimeLogTable[[#This Row],[Date]],"dddd")</f>
        <v>Monday</v>
      </c>
      <c r="E146" s="41" t="str">
        <f>IFERROR(LOOKUP(TimeLogTable[[#This Row],[Start
Time]],Table4[Start Time],Table4[Time of Day]),"")</f>
        <v>Early Morning</v>
      </c>
      <c r="F146" s="41" t="str">
        <f>IFERROR(INDEX(Projects[Productive],MATCH(TimeLogTable[[#This Row],[Task ID]],Projects[Task ID],0)),"")</f>
        <v>Productive Hours</v>
      </c>
      <c r="G146" s="61">
        <v>44375</v>
      </c>
      <c r="H146" s="41" t="s">
        <v>29</v>
      </c>
      <c r="I146" s="42" t="s">
        <v>28</v>
      </c>
      <c r="J146" s="43"/>
      <c r="K146" s="43" t="s">
        <v>59</v>
      </c>
      <c r="L146" s="19">
        <v>0.29166666666666669</v>
      </c>
      <c r="M146" s="19"/>
      <c r="N146" s="19">
        <v>0.32291666666666669</v>
      </c>
      <c r="O146" s="18"/>
      <c r="P146" s="16">
        <f t="shared" si="5"/>
        <v>0.75</v>
      </c>
      <c r="Q146" s="16" t="str">
        <f>IF(AND(TimeLogTable[[#This Row],[Date]]&gt;=$M$8,TimeLogTable[[#This Row],[Date]]&lt;=$M$9),"yes","no")</f>
        <v>no</v>
      </c>
    </row>
    <row r="147" spans="1:17">
      <c r="A147" s="20" t="str">
        <f>TEXT(TimeLogTable[[#This Row],[Date]], "yyyy")</f>
        <v>2021</v>
      </c>
      <c r="B147" s="20" t="str">
        <f>TEXT(TimeLogTable[[#This Row],[Date]], "mmm")</f>
        <v>Jun</v>
      </c>
      <c r="C147" s="20" t="str">
        <f>IFERROR(LOOKUP(TimeLogTable[[#This Row],[Date]],Table44[Start Date],Table44[Week Of]),"")</f>
        <v>Week of 06/28/2021</v>
      </c>
      <c r="D147" s="41" t="str">
        <f>TEXT(TimeLogTable[[#This Row],[Date]],"dddd")</f>
        <v>Tuesday</v>
      </c>
      <c r="E147" s="41" t="str">
        <f>IFERROR(LOOKUP(TimeLogTable[[#This Row],[Start
Time]],Table4[Start Time],Table4[Time of Day]),"")</f>
        <v>Early Morning</v>
      </c>
      <c r="F147" s="41" t="str">
        <f>IFERROR(INDEX(Projects[Productive],MATCH(TimeLogTable[[#This Row],[Task ID]],Projects[Task ID],0)),"")</f>
        <v>Productive Hours</v>
      </c>
      <c r="G147" s="61">
        <v>44376</v>
      </c>
      <c r="H147" s="41" t="s">
        <v>29</v>
      </c>
      <c r="I147" s="42" t="s">
        <v>32</v>
      </c>
      <c r="J147" s="43"/>
      <c r="K147" s="43" t="s">
        <v>58</v>
      </c>
      <c r="L147" s="19">
        <v>0.32291666666666669</v>
      </c>
      <c r="M147" s="19"/>
      <c r="N147" s="19">
        <v>0.33333333333333331</v>
      </c>
      <c r="O147" s="18"/>
      <c r="P147" s="16">
        <f t="shared" si="5"/>
        <v>0.25</v>
      </c>
      <c r="Q147" s="16" t="str">
        <f>IF(AND(TimeLogTable[[#This Row],[Date]]&gt;=$M$8,TimeLogTable[[#This Row],[Date]]&lt;=$M$9),"yes","no")</f>
        <v>no</v>
      </c>
    </row>
    <row r="148" spans="1:17">
      <c r="A148" s="20" t="str">
        <f>TEXT(TimeLogTable[[#This Row],[Date]], "yyyy")</f>
        <v>2021</v>
      </c>
      <c r="B148" s="20" t="str">
        <f>TEXT(TimeLogTable[[#This Row],[Date]], "mmm")</f>
        <v>Jun</v>
      </c>
      <c r="C148" s="20" t="str">
        <f>IFERROR(LOOKUP(TimeLogTable[[#This Row],[Date]],Table44[Start Date],Table44[Week Of]),"")</f>
        <v>Week of 06/28/2021</v>
      </c>
      <c r="D148" s="41" t="str">
        <f>TEXT(TimeLogTable[[#This Row],[Date]],"dddd")</f>
        <v>Wednesday</v>
      </c>
      <c r="E148" s="41" t="str">
        <f>IFERROR(LOOKUP(TimeLogTable[[#This Row],[Start
Time]],Table4[Start Time],Table4[Time of Day]),"")</f>
        <v>Early Morning</v>
      </c>
      <c r="F148" s="41" t="str">
        <f>IFERROR(INDEX(Projects[Productive],MATCH(TimeLogTable[[#This Row],[Task ID]],Projects[Task ID],0)),"")</f>
        <v>Productive Hours</v>
      </c>
      <c r="G148" s="61">
        <v>44377</v>
      </c>
      <c r="H148" s="41" t="s">
        <v>33</v>
      </c>
      <c r="I148" s="42" t="s">
        <v>78</v>
      </c>
      <c r="J148" s="43"/>
      <c r="K148" s="43" t="s">
        <v>60</v>
      </c>
      <c r="L148" s="19">
        <v>0.33333333333333331</v>
      </c>
      <c r="M148" s="19"/>
      <c r="N148" s="19">
        <v>0.34375</v>
      </c>
      <c r="O148" s="18"/>
      <c r="P148" s="16">
        <f t="shared" si="5"/>
        <v>0.25</v>
      </c>
      <c r="Q148" s="16" t="str">
        <f>IF(AND(TimeLogTable[[#This Row],[Date]]&gt;=$M$8,TimeLogTable[[#This Row],[Date]]&lt;=$M$9),"yes","no")</f>
        <v>no</v>
      </c>
    </row>
    <row r="149" spans="1:17">
      <c r="A149" s="20" t="str">
        <f>TEXT(TimeLogTable[[#This Row],[Date]], "yyyy")</f>
        <v>2021</v>
      </c>
      <c r="B149" s="20" t="str">
        <f>TEXT(TimeLogTable[[#This Row],[Date]], "mmm")</f>
        <v>Jul</v>
      </c>
      <c r="C149" s="20" t="str">
        <f>IFERROR(LOOKUP(TimeLogTable[[#This Row],[Date]],Table44[Start Date],Table44[Week Of]),"")</f>
        <v>Week of 06/28/2021</v>
      </c>
      <c r="D149" s="41" t="str">
        <f>TEXT(TimeLogTable[[#This Row],[Date]],"dddd")</f>
        <v>Thursday</v>
      </c>
      <c r="E149" s="41" t="str">
        <f>IFERROR(LOOKUP(TimeLogTable[[#This Row],[Start
Time]],Table4[Start Time],Table4[Time of Day]),"")</f>
        <v>Early Morning</v>
      </c>
      <c r="F149" s="41" t="str">
        <f>IFERROR(INDEX(Projects[Productive],MATCH(TimeLogTable[[#This Row],[Task ID]],Projects[Task ID],0)),"")</f>
        <v>Wasted Hours</v>
      </c>
      <c r="G149" s="61">
        <v>44378</v>
      </c>
      <c r="H149" s="41" t="s">
        <v>49</v>
      </c>
      <c r="I149" s="42" t="s">
        <v>50</v>
      </c>
      <c r="J149" s="43"/>
      <c r="K149" s="43" t="s">
        <v>61</v>
      </c>
      <c r="L149" s="19">
        <v>0.34375</v>
      </c>
      <c r="M149" s="19"/>
      <c r="N149" s="19">
        <v>0.375</v>
      </c>
      <c r="O149" s="18"/>
      <c r="P149" s="16">
        <f t="shared" si="5"/>
        <v>0.75</v>
      </c>
      <c r="Q149" s="16" t="str">
        <f>IF(AND(TimeLogTable[[#This Row],[Date]]&gt;=$M$8,TimeLogTable[[#This Row],[Date]]&lt;=$M$9),"yes","no")</f>
        <v>no</v>
      </c>
    </row>
    <row r="150" spans="1:17">
      <c r="A150" s="20" t="str">
        <f>TEXT(TimeLogTable[[#This Row],[Date]], "yyyy")</f>
        <v>2021</v>
      </c>
      <c r="B150" s="20" t="str">
        <f>TEXT(TimeLogTable[[#This Row],[Date]], "mmm")</f>
        <v>Jul</v>
      </c>
      <c r="C150" s="20" t="str">
        <f>IFERROR(LOOKUP(TimeLogTable[[#This Row],[Date]],Table44[Start Date],Table44[Week Of]),"")</f>
        <v>Week of 06/28/2021</v>
      </c>
      <c r="D150" s="41" t="str">
        <f>TEXT(TimeLogTable[[#This Row],[Date]],"dddd")</f>
        <v>Friday</v>
      </c>
      <c r="E150" s="41" t="str">
        <f>IFERROR(LOOKUP(TimeLogTable[[#This Row],[Start
Time]],Table4[Start Time],Table4[Time of Day]),"")</f>
        <v>Morning</v>
      </c>
      <c r="F150" s="41" t="str">
        <f>IFERROR(INDEX(Projects[Productive],MATCH(TimeLogTable[[#This Row],[Task ID]],Projects[Task ID],0)),"")</f>
        <v>Productive Hours</v>
      </c>
      <c r="G150" s="61">
        <v>44379</v>
      </c>
      <c r="H150" s="41" t="s">
        <v>33</v>
      </c>
      <c r="I150" s="42" t="s">
        <v>79</v>
      </c>
      <c r="J150" s="43"/>
      <c r="K150" s="43" t="s">
        <v>62</v>
      </c>
      <c r="L150" s="19">
        <v>0.375</v>
      </c>
      <c r="M150" s="19"/>
      <c r="N150" s="19">
        <v>0.5</v>
      </c>
      <c r="O150" s="18"/>
      <c r="P150" s="16">
        <f t="shared" si="5"/>
        <v>3</v>
      </c>
      <c r="Q150" s="16" t="str">
        <f>IF(AND(TimeLogTable[[#This Row],[Date]]&gt;=$M$8,TimeLogTable[[#This Row],[Date]]&lt;=$M$9),"yes","no")</f>
        <v>no</v>
      </c>
    </row>
    <row r="151" spans="1:17">
      <c r="A151" s="20" t="str">
        <f>TEXT(TimeLogTable[[#This Row],[Date]], "yyyy")</f>
        <v>2021</v>
      </c>
      <c r="B151" s="20" t="str">
        <f>TEXT(TimeLogTable[[#This Row],[Date]], "mmm")</f>
        <v>Jul</v>
      </c>
      <c r="C151" s="20" t="str">
        <f>IFERROR(LOOKUP(TimeLogTable[[#This Row],[Date]],Table44[Start Date],Table44[Week Of]),"")</f>
        <v>Week of 06/28/2021</v>
      </c>
      <c r="D151" s="41" t="str">
        <f>TEXT(TimeLogTable[[#This Row],[Date]],"dddd")</f>
        <v>Saturday</v>
      </c>
      <c r="E151" s="41" t="str">
        <f>IFERROR(LOOKUP(TimeLogTable[[#This Row],[Start
Time]],Table4[Start Time],Table4[Time of Day]),"")</f>
        <v>Afternoon</v>
      </c>
      <c r="F151" s="41" t="str">
        <f>IFERROR(INDEX(Projects[Productive],MATCH(TimeLogTable[[#This Row],[Task ID]],Projects[Task ID],0)),"")</f>
        <v>Wasted Hours</v>
      </c>
      <c r="G151" s="61">
        <v>44380</v>
      </c>
      <c r="H151" s="41" t="s">
        <v>38</v>
      </c>
      <c r="I151" s="42" t="s">
        <v>39</v>
      </c>
      <c r="J151" s="43"/>
      <c r="K151" s="43" t="s">
        <v>63</v>
      </c>
      <c r="L151" s="19">
        <v>0.5</v>
      </c>
      <c r="M151" s="19"/>
      <c r="N151" s="19">
        <v>0.625</v>
      </c>
      <c r="O151" s="18"/>
      <c r="P151" s="16">
        <f t="shared" si="5"/>
        <v>3</v>
      </c>
      <c r="Q151" s="16" t="str">
        <f>IF(AND(TimeLogTable[[#This Row],[Date]]&gt;=$M$8,TimeLogTable[[#This Row],[Date]]&lt;=$M$9),"yes","no")</f>
        <v>no</v>
      </c>
    </row>
    <row r="152" spans="1:17">
      <c r="A152" s="20" t="str">
        <f>TEXT(TimeLogTable[[#This Row],[Date]], "yyyy")</f>
        <v>2021</v>
      </c>
      <c r="B152" s="20" t="str">
        <f>TEXT(TimeLogTable[[#This Row],[Date]], "mmm")</f>
        <v>Jul</v>
      </c>
      <c r="C152" s="20" t="str">
        <f>IFERROR(LOOKUP(TimeLogTable[[#This Row],[Date]],Table44[Start Date],Table44[Week Of]),"")</f>
        <v>Week of 06/28/2021</v>
      </c>
      <c r="D152" s="41" t="str">
        <f>TEXT(TimeLogTable[[#This Row],[Date]],"dddd")</f>
        <v>Sunday</v>
      </c>
      <c r="E152" s="41" t="str">
        <f>IFERROR(LOOKUP(TimeLogTable[[#This Row],[Start
Time]],Table4[Start Time],Table4[Time of Day]),"")</f>
        <v>Afternoon</v>
      </c>
      <c r="F152" s="41" t="str">
        <f>IFERROR(INDEX(Projects[Productive],MATCH(TimeLogTable[[#This Row],[Task ID]],Projects[Task ID],0)),"")</f>
        <v>Productive Hours</v>
      </c>
      <c r="G152" s="61">
        <v>44381</v>
      </c>
      <c r="H152" s="41" t="s">
        <v>33</v>
      </c>
      <c r="I152" s="42" t="s">
        <v>79</v>
      </c>
      <c r="J152" s="43"/>
      <c r="K152" s="43" t="s">
        <v>64</v>
      </c>
      <c r="L152" s="19">
        <v>0.625</v>
      </c>
      <c r="M152" s="19"/>
      <c r="N152" s="19">
        <v>0.75</v>
      </c>
      <c r="O152" s="18"/>
      <c r="P152" s="16">
        <f t="shared" si="5"/>
        <v>3</v>
      </c>
      <c r="Q152" s="16" t="str">
        <f>IF(AND(TimeLogTable[[#This Row],[Date]]&gt;=$M$8,TimeLogTable[[#This Row],[Date]]&lt;=$M$9),"yes","no")</f>
        <v>no</v>
      </c>
    </row>
    <row r="153" spans="1:17">
      <c r="A153" s="20" t="str">
        <f>TEXT(TimeLogTable[[#This Row],[Date]], "yyyy")</f>
        <v>2021</v>
      </c>
      <c r="B153" s="20" t="str">
        <f>TEXT(TimeLogTable[[#This Row],[Date]], "mmm")</f>
        <v>Jul</v>
      </c>
      <c r="C153" s="20" t="str">
        <f>IFERROR(LOOKUP(TimeLogTable[[#This Row],[Date]],Table44[Start Date],Table44[Week Of]),"")</f>
        <v>Week of 07/05/2021</v>
      </c>
      <c r="D153" s="41" t="str">
        <f>TEXT(TimeLogTable[[#This Row],[Date]],"dddd")</f>
        <v>Monday</v>
      </c>
      <c r="E153" s="41" t="str">
        <f>IFERROR(LOOKUP(TimeLogTable[[#This Row],[Start
Time]],Table4[Start Time],Table4[Time of Day]),"")</f>
        <v>Evening</v>
      </c>
      <c r="F153" s="41" t="str">
        <f>IFERROR(INDEX(Projects[Productive],MATCH(TimeLogTable[[#This Row],[Task ID]],Projects[Task ID],0)),"")</f>
        <v>Wasted Hours</v>
      </c>
      <c r="G153" s="61">
        <v>44382</v>
      </c>
      <c r="H153" s="41" t="s">
        <v>49</v>
      </c>
      <c r="I153" s="42" t="s">
        <v>50</v>
      </c>
      <c r="J153" s="43"/>
      <c r="K153" s="43" t="s">
        <v>65</v>
      </c>
      <c r="L153" s="19">
        <v>0.75</v>
      </c>
      <c r="M153" s="19"/>
      <c r="N153" s="19">
        <v>0.79166666666666663</v>
      </c>
      <c r="O153" s="18"/>
      <c r="P153" s="16">
        <f t="shared" si="5"/>
        <v>1</v>
      </c>
      <c r="Q153" s="16" t="str">
        <f>IF(AND(TimeLogTable[[#This Row],[Date]]&gt;=$M$8,TimeLogTable[[#This Row],[Date]]&lt;=$M$9),"yes","no")</f>
        <v>no</v>
      </c>
    </row>
    <row r="154" spans="1:17">
      <c r="A154" s="20" t="str">
        <f>TEXT(TimeLogTable[[#This Row],[Date]], "yyyy")</f>
        <v>2021</v>
      </c>
      <c r="B154" s="20" t="str">
        <f>TEXT(TimeLogTable[[#This Row],[Date]], "mmm")</f>
        <v>Jul</v>
      </c>
      <c r="C154" s="20" t="str">
        <f>IFERROR(LOOKUP(TimeLogTable[[#This Row],[Date]],Table44[Start Date],Table44[Week Of]),"")</f>
        <v>Week of 07/05/2021</v>
      </c>
      <c r="D154" s="41" t="str">
        <f>TEXT(TimeLogTable[[#This Row],[Date]],"dddd")</f>
        <v>Tuesday</v>
      </c>
      <c r="E154" s="41" t="str">
        <f>IFERROR(LOOKUP(TimeLogTable[[#This Row],[Start
Time]],Table4[Start Time],Table4[Time of Day]),"")</f>
        <v>Evening</v>
      </c>
      <c r="F154" s="41" t="str">
        <f>IFERROR(INDEX(Projects[Productive],MATCH(TimeLogTable[[#This Row],[Task ID]],Projects[Task ID],0)),"")</f>
        <v>Wasted Hours</v>
      </c>
      <c r="G154" s="61">
        <v>44383</v>
      </c>
      <c r="H154" s="41" t="s">
        <v>26</v>
      </c>
      <c r="I154" s="42" t="s">
        <v>56</v>
      </c>
      <c r="J154" s="43"/>
      <c r="K154" s="43" t="s">
        <v>57</v>
      </c>
      <c r="L154" s="19">
        <v>0.79166666666666663</v>
      </c>
      <c r="M154" s="19"/>
      <c r="N154" s="19">
        <v>0.875</v>
      </c>
      <c r="O154" s="18"/>
      <c r="P154" s="16">
        <f t="shared" si="5"/>
        <v>2</v>
      </c>
      <c r="Q154" s="16" t="str">
        <f>IF(AND(TimeLogTable[[#This Row],[Date]]&gt;=$M$8,TimeLogTable[[#This Row],[Date]]&lt;=$M$9),"yes","no")</f>
        <v>no</v>
      </c>
    </row>
    <row r="155" spans="1:17">
      <c r="A155" s="20" t="str">
        <f>TEXT(TimeLogTable[[#This Row],[Date]], "yyyy")</f>
        <v>2021</v>
      </c>
      <c r="B155" s="20" t="str">
        <f>TEXT(TimeLogTable[[#This Row],[Date]], "mmm")</f>
        <v>Jul</v>
      </c>
      <c r="C155" s="20" t="str">
        <f>IFERROR(LOOKUP(TimeLogTable[[#This Row],[Date]],Table44[Start Date],Table44[Week Of]),"")</f>
        <v>Week of 07/05/2021</v>
      </c>
      <c r="D155" s="41" t="str">
        <f>TEXT(TimeLogTable[[#This Row],[Date]],"dddd")</f>
        <v>Wednesday</v>
      </c>
      <c r="E155" s="41" t="str">
        <f>IFERROR(LOOKUP(TimeLogTable[[#This Row],[Start
Time]],Table4[Start Time],Table4[Time of Day]),"")</f>
        <v>Late Evening</v>
      </c>
      <c r="F155" s="41" t="str">
        <f>IFERROR(INDEX(Projects[Productive],MATCH(TimeLogTable[[#This Row],[Task ID]],Projects[Task ID],0)),"")</f>
        <v>Productive Hours</v>
      </c>
      <c r="G155" s="61">
        <v>44384</v>
      </c>
      <c r="H155" s="41" t="s">
        <v>107</v>
      </c>
      <c r="I155" s="42" t="s">
        <v>45</v>
      </c>
      <c r="J155" s="43"/>
      <c r="K155" s="42"/>
      <c r="L155" s="19">
        <v>0.875</v>
      </c>
      <c r="M155" s="19"/>
      <c r="N155" s="19">
        <v>0.25</v>
      </c>
      <c r="O155" s="18"/>
      <c r="P155" s="16">
        <f t="shared" si="5"/>
        <v>9</v>
      </c>
      <c r="Q155" s="16" t="str">
        <f>IF(AND(TimeLogTable[[#This Row],[Date]]&gt;=$M$8,TimeLogTable[[#This Row],[Date]]&lt;=$M$9),"yes","no")</f>
        <v>no</v>
      </c>
    </row>
    <row r="156" spans="1:17">
      <c r="A156" s="20" t="str">
        <f>TEXT(TimeLogTable[[#This Row],[Date]], "yyyy")</f>
        <v>2021</v>
      </c>
      <c r="B156" s="20" t="str">
        <f>TEXT(TimeLogTable[[#This Row],[Date]], "mmm")</f>
        <v>Jul</v>
      </c>
      <c r="C156" s="20" t="str">
        <f>IFERROR(LOOKUP(TimeLogTable[[#This Row],[Date]],Table44[Start Date],Table44[Week Of]),"")</f>
        <v>Week of 07/05/2021</v>
      </c>
      <c r="D156" s="41" t="str">
        <f>TEXT(TimeLogTable[[#This Row],[Date]],"dddd")</f>
        <v>Thursday</v>
      </c>
      <c r="E156" s="41" t="str">
        <f>IFERROR(LOOKUP(TimeLogTable[[#This Row],[Start
Time]],Table4[Start Time],Table4[Time of Day]),"")</f>
        <v>Afternoon</v>
      </c>
      <c r="F156" s="41" t="str">
        <f>IFERROR(INDEX(Projects[Productive],MATCH(TimeLogTable[[#This Row],[Task ID]],Projects[Task ID],0)),"")</f>
        <v>Wasted Hours</v>
      </c>
      <c r="G156" s="61">
        <v>44385</v>
      </c>
      <c r="H156" s="41" t="s">
        <v>49</v>
      </c>
      <c r="I156" s="42" t="s">
        <v>50</v>
      </c>
      <c r="J156" s="43"/>
      <c r="K156" s="43" t="s">
        <v>52</v>
      </c>
      <c r="L156" s="19">
        <v>0.70416666666666661</v>
      </c>
      <c r="M156" s="19"/>
      <c r="N156" s="19">
        <v>0.72499999999999998</v>
      </c>
      <c r="O156" s="18"/>
      <c r="P156" s="16">
        <f t="shared" si="5"/>
        <v>0.5</v>
      </c>
      <c r="Q156" s="16" t="str">
        <f>IF(AND(TimeLogTable[[#This Row],[Date]]&gt;=$M$8,TimeLogTable[[#This Row],[Date]]&lt;=$M$9),"yes","no")</f>
        <v>no</v>
      </c>
    </row>
    <row r="157" spans="1:17">
      <c r="A157" s="20" t="str">
        <f>TEXT(TimeLogTable[[#This Row],[Date]], "yyyy")</f>
        <v>2021</v>
      </c>
      <c r="B157" s="20" t="str">
        <f>TEXT(TimeLogTable[[#This Row],[Date]], "mmm")</f>
        <v>Jul</v>
      </c>
      <c r="C157" s="20" t="str">
        <f>IFERROR(LOOKUP(TimeLogTable[[#This Row],[Date]],Table44[Start Date],Table44[Week Of]),"")</f>
        <v>Week of 07/05/2021</v>
      </c>
      <c r="D157" s="41" t="str">
        <f>TEXT(TimeLogTable[[#This Row],[Date]],"dddd")</f>
        <v>Friday</v>
      </c>
      <c r="E157" s="41" t="str">
        <f>IFERROR(LOOKUP(TimeLogTable[[#This Row],[Start
Time]],Table4[Start Time],Table4[Time of Day]),"")</f>
        <v>Afternoon</v>
      </c>
      <c r="F157" s="41" t="str">
        <f>IFERROR(INDEX(Projects[Productive],MATCH(TimeLogTable[[#This Row],[Task ID]],Projects[Task ID],0)),"")</f>
        <v>Productive Hours</v>
      </c>
      <c r="G157" s="61">
        <v>44386</v>
      </c>
      <c r="H157" s="41" t="s">
        <v>33</v>
      </c>
      <c r="I157" s="42" t="s">
        <v>78</v>
      </c>
      <c r="J157" s="43"/>
      <c r="K157" s="43" t="s">
        <v>53</v>
      </c>
      <c r="L157" s="19">
        <v>0.72499999999999998</v>
      </c>
      <c r="M157" s="19"/>
      <c r="N157" s="39">
        <v>0.91666666666666663</v>
      </c>
      <c r="O157" s="18"/>
      <c r="P157" s="16">
        <f t="shared" si="5"/>
        <v>4.5999999999999996</v>
      </c>
      <c r="Q157" s="16" t="str">
        <f>IF(AND(TimeLogTable[[#This Row],[Date]]&gt;=$M$8,TimeLogTable[[#This Row],[Date]]&lt;=$M$9),"yes","no")</f>
        <v>no</v>
      </c>
    </row>
    <row r="158" spans="1:17">
      <c r="A158" s="20" t="str">
        <f>TEXT(TimeLogTable[[#This Row],[Date]], "yyyy")</f>
        <v>2021</v>
      </c>
      <c r="B158" s="20" t="str">
        <f>TEXT(TimeLogTable[[#This Row],[Date]], "mmm")</f>
        <v>Jul</v>
      </c>
      <c r="C158" s="20" t="str">
        <f>IFERROR(LOOKUP(TimeLogTable[[#This Row],[Date]],Table44[Start Date],Table44[Week Of]),"")</f>
        <v>Week of 07/05/2021</v>
      </c>
      <c r="D158" s="41" t="str">
        <f>TEXT(TimeLogTable[[#This Row],[Date]],"dddd")</f>
        <v>Saturday</v>
      </c>
      <c r="E158" s="41" t="str">
        <f>IFERROR(LOOKUP(TimeLogTable[[#This Row],[Start
Time]],Table4[Start Time],Table4[Time of Day]),"")</f>
        <v>Late Evening</v>
      </c>
      <c r="F158" s="41" t="str">
        <f>IFERROR(INDEX(Projects[Productive],MATCH(TimeLogTable[[#This Row],[Task ID]],Projects[Task ID],0)),"")</f>
        <v>Wasted Hours</v>
      </c>
      <c r="G158" s="61">
        <v>44387</v>
      </c>
      <c r="H158" s="41" t="s">
        <v>49</v>
      </c>
      <c r="I158" s="42" t="s">
        <v>50</v>
      </c>
      <c r="J158" s="43"/>
      <c r="K158" s="43" t="s">
        <v>54</v>
      </c>
      <c r="L158" s="39">
        <v>0.91666666666666663</v>
      </c>
      <c r="M158" s="19"/>
      <c r="N158" s="19">
        <v>0.9375</v>
      </c>
      <c r="O158" s="18"/>
      <c r="P158" s="16">
        <f t="shared" si="5"/>
        <v>0.5</v>
      </c>
      <c r="Q158" s="16" t="str">
        <f>IF(AND(TimeLogTable[[#This Row],[Date]]&gt;=$M$8,TimeLogTable[[#This Row],[Date]]&lt;=$M$9),"yes","no")</f>
        <v>no</v>
      </c>
    </row>
    <row r="159" spans="1:17">
      <c r="A159" s="20" t="str">
        <f>TEXT(TimeLogTable[[#This Row],[Date]], "yyyy")</f>
        <v>2021</v>
      </c>
      <c r="B159" s="20" t="str">
        <f>TEXT(TimeLogTable[[#This Row],[Date]], "mmm")</f>
        <v>Jul</v>
      </c>
      <c r="C159" s="20" t="str">
        <f>IFERROR(LOOKUP(TimeLogTable[[#This Row],[Date]],Table44[Start Date],Table44[Week Of]),"")</f>
        <v>Week of 07/05/2021</v>
      </c>
      <c r="D159" s="41" t="str">
        <f>TEXT(TimeLogTable[[#This Row],[Date]],"dddd")</f>
        <v>Sunday</v>
      </c>
      <c r="E159" s="41" t="str">
        <f>IFERROR(LOOKUP(TimeLogTable[[#This Row],[Start
Time]],Table4[Start Time],Table4[Time of Day]),"")</f>
        <v>Late Evening</v>
      </c>
      <c r="F159" s="41" t="str">
        <f>IFERROR(INDEX(Projects[Productive],MATCH(TimeLogTable[[#This Row],[Task ID]],Projects[Task ID],0)),"")</f>
        <v>Productive Hours</v>
      </c>
      <c r="G159" s="61">
        <v>44388</v>
      </c>
      <c r="H159" s="41" t="s">
        <v>107</v>
      </c>
      <c r="I159" s="42" t="s">
        <v>45</v>
      </c>
      <c r="J159" s="43"/>
      <c r="K159" s="42"/>
      <c r="L159" s="19">
        <v>0.9375</v>
      </c>
      <c r="M159" s="19"/>
      <c r="N159" s="22">
        <v>0.25</v>
      </c>
      <c r="O159" s="18"/>
      <c r="P159" s="16">
        <f t="shared" si="5"/>
        <v>7.5</v>
      </c>
      <c r="Q159" s="16" t="str">
        <f>IF(AND(TimeLogTable[[#This Row],[Date]]&gt;=$M$8,TimeLogTable[[#This Row],[Date]]&lt;=$M$9),"yes","no")</f>
        <v>no</v>
      </c>
    </row>
    <row r="160" spans="1:17">
      <c r="A160" s="20" t="str">
        <f>TEXT(TimeLogTable[[#This Row],[Date]], "yyyy")</f>
        <v>2021</v>
      </c>
      <c r="B160" s="20" t="str">
        <f>TEXT(TimeLogTable[[#This Row],[Date]], "mmm")</f>
        <v>Jul</v>
      </c>
      <c r="C160" s="20" t="str">
        <f>IFERROR(LOOKUP(TimeLogTable[[#This Row],[Date]],Table44[Start Date],Table44[Week Of]),"")</f>
        <v>Week of 07/12/2021</v>
      </c>
      <c r="D160" s="41" t="str">
        <f>TEXT(TimeLogTable[[#This Row],[Date]],"dddd")</f>
        <v>Monday</v>
      </c>
      <c r="E160" s="41" t="str">
        <f>IFERROR(LOOKUP(TimeLogTable[[#This Row],[Start
Time]],Table4[Start Time],Table4[Time of Day]),"")</f>
        <v>Early Morning</v>
      </c>
      <c r="F160" s="41" t="str">
        <f>IFERROR(INDEX(Projects[Productive],MATCH(TimeLogTable[[#This Row],[Task ID]],Projects[Task ID],0)),"")</f>
        <v>Productive Hours</v>
      </c>
      <c r="G160" s="61">
        <v>44389</v>
      </c>
      <c r="H160" s="41" t="s">
        <v>29</v>
      </c>
      <c r="I160" s="42" t="s">
        <v>28</v>
      </c>
      <c r="J160" s="43"/>
      <c r="K160" s="43" t="s">
        <v>59</v>
      </c>
      <c r="L160" s="19">
        <v>0.29166666666666669</v>
      </c>
      <c r="M160" s="19"/>
      <c r="N160" s="19">
        <v>0.32291666666666669</v>
      </c>
      <c r="O160" s="18"/>
      <c r="P160" s="16">
        <f t="shared" si="5"/>
        <v>0.75</v>
      </c>
      <c r="Q160" s="16" t="str">
        <f>IF(AND(TimeLogTable[[#This Row],[Date]]&gt;=$M$8,TimeLogTable[[#This Row],[Date]]&lt;=$M$9),"yes","no")</f>
        <v>no</v>
      </c>
    </row>
    <row r="161" spans="1:17">
      <c r="A161" s="20" t="str">
        <f>TEXT(TimeLogTable[[#This Row],[Date]], "yyyy")</f>
        <v>2021</v>
      </c>
      <c r="B161" s="20" t="str">
        <f>TEXT(TimeLogTable[[#This Row],[Date]], "mmm")</f>
        <v>Jul</v>
      </c>
      <c r="C161" s="20" t="str">
        <f>IFERROR(LOOKUP(TimeLogTable[[#This Row],[Date]],Table44[Start Date],Table44[Week Of]),"")</f>
        <v>Week of 07/12/2021</v>
      </c>
      <c r="D161" s="41" t="str">
        <f>TEXT(TimeLogTable[[#This Row],[Date]],"dddd")</f>
        <v>Tuesday</v>
      </c>
      <c r="E161" s="41" t="str">
        <f>IFERROR(LOOKUP(TimeLogTable[[#This Row],[Start
Time]],Table4[Start Time],Table4[Time of Day]),"")</f>
        <v>Early Morning</v>
      </c>
      <c r="F161" s="41" t="str">
        <f>IFERROR(INDEX(Projects[Productive],MATCH(TimeLogTable[[#This Row],[Task ID]],Projects[Task ID],0)),"")</f>
        <v>Productive Hours</v>
      </c>
      <c r="G161" s="61">
        <v>44390</v>
      </c>
      <c r="H161" s="41" t="s">
        <v>29</v>
      </c>
      <c r="I161" s="42" t="s">
        <v>32</v>
      </c>
      <c r="J161" s="43"/>
      <c r="K161" s="43" t="s">
        <v>58</v>
      </c>
      <c r="L161" s="19">
        <v>0.32291666666666669</v>
      </c>
      <c r="M161" s="19"/>
      <c r="N161" s="19">
        <v>0.33333333333333331</v>
      </c>
      <c r="O161" s="18"/>
      <c r="P161" s="16">
        <f t="shared" si="5"/>
        <v>0.25</v>
      </c>
      <c r="Q161" s="16" t="str">
        <f>IF(AND(TimeLogTable[[#This Row],[Date]]&gt;=$M$8,TimeLogTable[[#This Row],[Date]]&lt;=$M$9),"yes","no")</f>
        <v>no</v>
      </c>
    </row>
    <row r="162" spans="1:17">
      <c r="A162" s="20" t="str">
        <f>TEXT(TimeLogTable[[#This Row],[Date]], "yyyy")</f>
        <v>2021</v>
      </c>
      <c r="B162" s="20" t="str">
        <f>TEXT(TimeLogTable[[#This Row],[Date]], "mmm")</f>
        <v>Jul</v>
      </c>
      <c r="C162" s="20" t="str">
        <f>IFERROR(LOOKUP(TimeLogTable[[#This Row],[Date]],Table44[Start Date],Table44[Week Of]),"")</f>
        <v>Week of 07/12/2021</v>
      </c>
      <c r="D162" s="41" t="str">
        <f>TEXT(TimeLogTable[[#This Row],[Date]],"dddd")</f>
        <v>Wednesday</v>
      </c>
      <c r="E162" s="41" t="str">
        <f>IFERROR(LOOKUP(TimeLogTable[[#This Row],[Start
Time]],Table4[Start Time],Table4[Time of Day]),"")</f>
        <v>Early Morning</v>
      </c>
      <c r="F162" s="41" t="str">
        <f>IFERROR(INDEX(Projects[Productive],MATCH(TimeLogTable[[#This Row],[Task ID]],Projects[Task ID],0)),"")</f>
        <v>Productive Hours</v>
      </c>
      <c r="G162" s="61">
        <v>44391</v>
      </c>
      <c r="H162" s="41" t="s">
        <v>33</v>
      </c>
      <c r="I162" s="42" t="s">
        <v>78</v>
      </c>
      <c r="J162" s="43"/>
      <c r="K162" s="43" t="s">
        <v>60</v>
      </c>
      <c r="L162" s="19">
        <v>0.33333333333333331</v>
      </c>
      <c r="M162" s="19"/>
      <c r="N162" s="19">
        <v>0.34375</v>
      </c>
      <c r="O162" s="18"/>
      <c r="P162" s="16">
        <f t="shared" si="5"/>
        <v>0.25</v>
      </c>
      <c r="Q162" s="16" t="str">
        <f>IF(AND(TimeLogTable[[#This Row],[Date]]&gt;=$M$8,TimeLogTable[[#This Row],[Date]]&lt;=$M$9),"yes","no")</f>
        <v>no</v>
      </c>
    </row>
    <row r="163" spans="1:17">
      <c r="A163" s="20" t="str">
        <f>TEXT(TimeLogTable[[#This Row],[Date]], "yyyy")</f>
        <v>2021</v>
      </c>
      <c r="B163" s="20" t="str">
        <f>TEXT(TimeLogTable[[#This Row],[Date]], "mmm")</f>
        <v>Jul</v>
      </c>
      <c r="C163" s="20" t="str">
        <f>IFERROR(LOOKUP(TimeLogTable[[#This Row],[Date]],Table44[Start Date],Table44[Week Of]),"")</f>
        <v>Week of 07/12/2021</v>
      </c>
      <c r="D163" s="41" t="str">
        <f>TEXT(TimeLogTable[[#This Row],[Date]],"dddd")</f>
        <v>Thursday</v>
      </c>
      <c r="E163" s="41" t="str">
        <f>IFERROR(LOOKUP(TimeLogTable[[#This Row],[Start
Time]],Table4[Start Time],Table4[Time of Day]),"")</f>
        <v>Early Morning</v>
      </c>
      <c r="F163" s="41" t="str">
        <f>IFERROR(INDEX(Projects[Productive],MATCH(TimeLogTable[[#This Row],[Task ID]],Projects[Task ID],0)),"")</f>
        <v>Wasted Hours</v>
      </c>
      <c r="G163" s="61">
        <v>44392</v>
      </c>
      <c r="H163" s="41" t="s">
        <v>49</v>
      </c>
      <c r="I163" s="42" t="s">
        <v>50</v>
      </c>
      <c r="J163" s="43"/>
      <c r="K163" s="43" t="s">
        <v>61</v>
      </c>
      <c r="L163" s="19">
        <v>0.34375</v>
      </c>
      <c r="M163" s="19"/>
      <c r="N163" s="19">
        <v>0.375</v>
      </c>
      <c r="O163" s="18"/>
      <c r="P163" s="16">
        <f t="shared" si="5"/>
        <v>0.75</v>
      </c>
      <c r="Q163" s="16" t="str">
        <f>IF(AND(TimeLogTable[[#This Row],[Date]]&gt;=$M$8,TimeLogTable[[#This Row],[Date]]&lt;=$M$9),"yes","no")</f>
        <v>no</v>
      </c>
    </row>
    <row r="164" spans="1:17">
      <c r="A164" s="20" t="str">
        <f>TEXT(TimeLogTable[[#This Row],[Date]], "yyyy")</f>
        <v>2021</v>
      </c>
      <c r="B164" s="20" t="str">
        <f>TEXT(TimeLogTable[[#This Row],[Date]], "mmm")</f>
        <v>Jul</v>
      </c>
      <c r="C164" s="20" t="str">
        <f>IFERROR(LOOKUP(TimeLogTable[[#This Row],[Date]],Table44[Start Date],Table44[Week Of]),"")</f>
        <v>Week of 07/12/2021</v>
      </c>
      <c r="D164" s="41" t="str">
        <f>TEXT(TimeLogTable[[#This Row],[Date]],"dddd")</f>
        <v>Friday</v>
      </c>
      <c r="E164" s="41" t="str">
        <f>IFERROR(LOOKUP(TimeLogTable[[#This Row],[Start
Time]],Table4[Start Time],Table4[Time of Day]),"")</f>
        <v>Morning</v>
      </c>
      <c r="F164" s="41" t="str">
        <f>IFERROR(INDEX(Projects[Productive],MATCH(TimeLogTable[[#This Row],[Task ID]],Projects[Task ID],0)),"")</f>
        <v>Productive Hours</v>
      </c>
      <c r="G164" s="61">
        <v>44393</v>
      </c>
      <c r="H164" s="41" t="s">
        <v>33</v>
      </c>
      <c r="I164" s="42" t="s">
        <v>79</v>
      </c>
      <c r="J164" s="43"/>
      <c r="K164" s="43" t="s">
        <v>62</v>
      </c>
      <c r="L164" s="19">
        <v>0.375</v>
      </c>
      <c r="M164" s="19"/>
      <c r="N164" s="19">
        <v>0.5</v>
      </c>
      <c r="O164" s="18"/>
      <c r="P164" s="16">
        <f t="shared" si="5"/>
        <v>3</v>
      </c>
      <c r="Q164" s="16" t="str">
        <f>IF(AND(TimeLogTable[[#This Row],[Date]]&gt;=$M$8,TimeLogTable[[#This Row],[Date]]&lt;=$M$9),"yes","no")</f>
        <v>no</v>
      </c>
    </row>
    <row r="165" spans="1:17">
      <c r="A165" s="20" t="str">
        <f>TEXT(TimeLogTable[[#This Row],[Date]], "yyyy")</f>
        <v>2021</v>
      </c>
      <c r="B165" s="20" t="str">
        <f>TEXT(TimeLogTable[[#This Row],[Date]], "mmm")</f>
        <v>Jul</v>
      </c>
      <c r="C165" s="20" t="str">
        <f>IFERROR(LOOKUP(TimeLogTable[[#This Row],[Date]],Table44[Start Date],Table44[Week Of]),"")</f>
        <v>Week of 07/12/2021</v>
      </c>
      <c r="D165" s="41" t="str">
        <f>TEXT(TimeLogTable[[#This Row],[Date]],"dddd")</f>
        <v>Saturday</v>
      </c>
      <c r="E165" s="41" t="str">
        <f>IFERROR(LOOKUP(TimeLogTable[[#This Row],[Start
Time]],Table4[Start Time],Table4[Time of Day]),"")</f>
        <v>Afternoon</v>
      </c>
      <c r="F165" s="41" t="str">
        <f>IFERROR(INDEX(Projects[Productive],MATCH(TimeLogTable[[#This Row],[Task ID]],Projects[Task ID],0)),"")</f>
        <v>Wasted Hours</v>
      </c>
      <c r="G165" s="61">
        <v>44394</v>
      </c>
      <c r="H165" s="41" t="s">
        <v>38</v>
      </c>
      <c r="I165" s="42" t="s">
        <v>39</v>
      </c>
      <c r="J165" s="43"/>
      <c r="K165" s="43" t="s">
        <v>63</v>
      </c>
      <c r="L165" s="19">
        <v>0.5</v>
      </c>
      <c r="M165" s="19"/>
      <c r="N165" s="19">
        <v>0.625</v>
      </c>
      <c r="O165" s="18"/>
      <c r="P165" s="16">
        <f t="shared" si="5"/>
        <v>3</v>
      </c>
      <c r="Q165" s="16" t="str">
        <f>IF(AND(TimeLogTable[[#This Row],[Date]]&gt;=$M$8,TimeLogTable[[#This Row],[Date]]&lt;=$M$9),"yes","no")</f>
        <v>no</v>
      </c>
    </row>
    <row r="166" spans="1:17">
      <c r="A166" s="20" t="str">
        <f>TEXT(TimeLogTable[[#This Row],[Date]], "yyyy")</f>
        <v>2021</v>
      </c>
      <c r="B166" s="20" t="str">
        <f>TEXT(TimeLogTable[[#This Row],[Date]], "mmm")</f>
        <v>Jul</v>
      </c>
      <c r="C166" s="20" t="str">
        <f>IFERROR(LOOKUP(TimeLogTable[[#This Row],[Date]],Table44[Start Date],Table44[Week Of]),"")</f>
        <v>Week of 07/12/2021</v>
      </c>
      <c r="D166" s="41" t="str">
        <f>TEXT(TimeLogTable[[#This Row],[Date]],"dddd")</f>
        <v>Sunday</v>
      </c>
      <c r="E166" s="41" t="str">
        <f>IFERROR(LOOKUP(TimeLogTable[[#This Row],[Start
Time]],Table4[Start Time],Table4[Time of Day]),"")</f>
        <v>Afternoon</v>
      </c>
      <c r="F166" s="41" t="str">
        <f>IFERROR(INDEX(Projects[Productive],MATCH(TimeLogTable[[#This Row],[Task ID]],Projects[Task ID],0)),"")</f>
        <v>Productive Hours</v>
      </c>
      <c r="G166" s="61">
        <v>44395</v>
      </c>
      <c r="H166" s="41" t="s">
        <v>33</v>
      </c>
      <c r="I166" s="42" t="s">
        <v>79</v>
      </c>
      <c r="J166" s="43"/>
      <c r="K166" s="43" t="s">
        <v>64</v>
      </c>
      <c r="L166" s="19">
        <v>0.625</v>
      </c>
      <c r="M166" s="19"/>
      <c r="N166" s="19">
        <v>0.75</v>
      </c>
      <c r="O166" s="18"/>
      <c r="P166" s="16">
        <f t="shared" si="5"/>
        <v>3</v>
      </c>
      <c r="Q166" s="16" t="str">
        <f>IF(AND(TimeLogTable[[#This Row],[Date]]&gt;=$M$8,TimeLogTable[[#This Row],[Date]]&lt;=$M$9),"yes","no")</f>
        <v>no</v>
      </c>
    </row>
    <row r="167" spans="1:17">
      <c r="A167" s="20" t="str">
        <f>TEXT(TimeLogTable[[#This Row],[Date]], "yyyy")</f>
        <v>2021</v>
      </c>
      <c r="B167" s="20" t="str">
        <f>TEXT(TimeLogTable[[#This Row],[Date]], "mmm")</f>
        <v>Jul</v>
      </c>
      <c r="C167" s="20" t="str">
        <f>IFERROR(LOOKUP(TimeLogTable[[#This Row],[Date]],Table44[Start Date],Table44[Week Of]),"")</f>
        <v>Week of 07/19/2021</v>
      </c>
      <c r="D167" s="41" t="str">
        <f>TEXT(TimeLogTable[[#This Row],[Date]],"dddd")</f>
        <v>Monday</v>
      </c>
      <c r="E167" s="41" t="str">
        <f>IFERROR(LOOKUP(TimeLogTable[[#This Row],[Start
Time]],Table4[Start Time],Table4[Time of Day]),"")</f>
        <v>Evening</v>
      </c>
      <c r="F167" s="41" t="str">
        <f>IFERROR(INDEX(Projects[Productive],MATCH(TimeLogTable[[#This Row],[Task ID]],Projects[Task ID],0)),"")</f>
        <v>Wasted Hours</v>
      </c>
      <c r="G167" s="61">
        <v>44396</v>
      </c>
      <c r="H167" s="41" t="s">
        <v>49</v>
      </c>
      <c r="I167" s="42" t="s">
        <v>50</v>
      </c>
      <c r="J167" s="43"/>
      <c r="K167" s="43" t="s">
        <v>65</v>
      </c>
      <c r="L167" s="19">
        <v>0.75</v>
      </c>
      <c r="M167" s="19"/>
      <c r="N167" s="19">
        <v>0.79166666666666663</v>
      </c>
      <c r="O167" s="18"/>
      <c r="P167" s="16">
        <f t="shared" si="5"/>
        <v>1</v>
      </c>
      <c r="Q167" s="16" t="str">
        <f>IF(AND(TimeLogTable[[#This Row],[Date]]&gt;=$M$8,TimeLogTable[[#This Row],[Date]]&lt;=$M$9),"yes","no")</f>
        <v>no</v>
      </c>
    </row>
    <row r="168" spans="1:17">
      <c r="A168" s="20" t="str">
        <f>TEXT(TimeLogTable[[#This Row],[Date]], "yyyy")</f>
        <v>2021</v>
      </c>
      <c r="B168" s="20" t="str">
        <f>TEXT(TimeLogTable[[#This Row],[Date]], "mmm")</f>
        <v>Jul</v>
      </c>
      <c r="C168" s="20" t="str">
        <f>IFERROR(LOOKUP(TimeLogTable[[#This Row],[Date]],Table44[Start Date],Table44[Week Of]),"")</f>
        <v>Week of 07/19/2021</v>
      </c>
      <c r="D168" s="41" t="str">
        <f>TEXT(TimeLogTable[[#This Row],[Date]],"dddd")</f>
        <v>Tuesday</v>
      </c>
      <c r="E168" s="41" t="str">
        <f>IFERROR(LOOKUP(TimeLogTable[[#This Row],[Start
Time]],Table4[Start Time],Table4[Time of Day]),"")</f>
        <v>Evening</v>
      </c>
      <c r="F168" s="41" t="str">
        <f>IFERROR(INDEX(Projects[Productive],MATCH(TimeLogTable[[#This Row],[Task ID]],Projects[Task ID],0)),"")</f>
        <v>Wasted Hours</v>
      </c>
      <c r="G168" s="61">
        <v>44397</v>
      </c>
      <c r="H168" s="41" t="s">
        <v>26</v>
      </c>
      <c r="I168" s="42" t="s">
        <v>56</v>
      </c>
      <c r="J168" s="43"/>
      <c r="K168" s="43" t="s">
        <v>57</v>
      </c>
      <c r="L168" s="19">
        <v>0.79166666666666663</v>
      </c>
      <c r="M168" s="19"/>
      <c r="N168" s="19">
        <v>0.875</v>
      </c>
      <c r="O168" s="18"/>
      <c r="P168" s="16">
        <f t="shared" si="5"/>
        <v>2</v>
      </c>
      <c r="Q168" s="16" t="str">
        <f>IF(AND(TimeLogTable[[#This Row],[Date]]&gt;=$M$8,TimeLogTable[[#This Row],[Date]]&lt;=$M$9),"yes","no")</f>
        <v>no</v>
      </c>
    </row>
    <row r="169" spans="1:17">
      <c r="A169" s="20" t="str">
        <f>TEXT(TimeLogTable[[#This Row],[Date]], "yyyy")</f>
        <v>2021</v>
      </c>
      <c r="B169" s="20" t="str">
        <f>TEXT(TimeLogTable[[#This Row],[Date]], "mmm")</f>
        <v>Jul</v>
      </c>
      <c r="C169" s="20" t="str">
        <f>IFERROR(LOOKUP(TimeLogTable[[#This Row],[Date]],Table44[Start Date],Table44[Week Of]),"")</f>
        <v>Week of 07/19/2021</v>
      </c>
      <c r="D169" s="41" t="str">
        <f>TEXT(TimeLogTable[[#This Row],[Date]],"dddd")</f>
        <v>Wednesday</v>
      </c>
      <c r="E169" s="41" t="str">
        <f>IFERROR(LOOKUP(TimeLogTable[[#This Row],[Start
Time]],Table4[Start Time],Table4[Time of Day]),"")</f>
        <v>Late Evening</v>
      </c>
      <c r="F169" s="41" t="str">
        <f>IFERROR(INDEX(Projects[Productive],MATCH(TimeLogTable[[#This Row],[Task ID]],Projects[Task ID],0)),"")</f>
        <v>Productive Hours</v>
      </c>
      <c r="G169" s="61">
        <v>44398</v>
      </c>
      <c r="H169" s="41" t="s">
        <v>107</v>
      </c>
      <c r="I169" s="42" t="s">
        <v>45</v>
      </c>
      <c r="J169" s="43"/>
      <c r="K169" s="42"/>
      <c r="L169" s="19">
        <v>0.875</v>
      </c>
      <c r="M169" s="19"/>
      <c r="N169" s="19">
        <v>0.25</v>
      </c>
      <c r="O169" s="18"/>
      <c r="P169" s="16">
        <f t="shared" si="5"/>
        <v>9</v>
      </c>
      <c r="Q169" s="16" t="str">
        <f>IF(AND(TimeLogTable[[#This Row],[Date]]&gt;=$M$8,TimeLogTable[[#This Row],[Date]]&lt;=$M$9),"yes","no")</f>
        <v>no</v>
      </c>
    </row>
    <row r="170" spans="1:17">
      <c r="A170" s="63" t="str">
        <f>TEXT(TimeLogTable[[#This Row],[Date]], "yyyy")</f>
        <v>1900</v>
      </c>
      <c r="B170" s="63" t="str">
        <f>TEXT(TimeLogTable[[#This Row],[Date]], "mmm")</f>
        <v>Jan</v>
      </c>
      <c r="C170" s="64" t="str">
        <f>IFERROR(LOOKUP(TimeLogTable[[#This Row],[Date]],Table44[Start Date],Table44[Week Of]),"")</f>
        <v/>
      </c>
      <c r="D170" s="65" t="str">
        <f>TEXT(TimeLogTable[[#This Row],[Date]],"dddd")</f>
        <v>Saturday</v>
      </c>
      <c r="E170" s="67" t="str">
        <f>IFERROR(LOOKUP(TimeLogTable[[#This Row],[Start
Time]],Table4[Start Time],Table4[Time of Day]),"")</f>
        <v/>
      </c>
      <c r="F170" s="67" t="str">
        <f>IFERROR(INDEX(Projects[Productive],MATCH(TimeLogTable[[#This Row],[Task ID]],Projects[Task ID],0)),"")</f>
        <v/>
      </c>
      <c r="G170" s="66"/>
      <c r="H170" s="65"/>
      <c r="I170" s="43"/>
      <c r="J170" s="43"/>
      <c r="K170" s="43"/>
      <c r="L170" s="22"/>
      <c r="M170" s="22"/>
      <c r="N170" s="22"/>
      <c r="O170" s="18"/>
      <c r="P170" s="68">
        <f t="shared" si="5"/>
        <v>0</v>
      </c>
      <c r="Q170" s="16" t="str">
        <f>IF(AND(TimeLogTable[[#This Row],[Date]]&gt;=$M$8,TimeLogTable[[#This Row],[Date]]&lt;=$M$9),"yes","no")</f>
        <v>no</v>
      </c>
    </row>
    <row r="171" spans="1:17">
      <c r="A171" s="63" t="str">
        <f>TEXT(TimeLogTable[[#This Row],[Date]], "yyyy")</f>
        <v>1900</v>
      </c>
      <c r="B171" s="63" t="str">
        <f>TEXT(TimeLogTable[[#This Row],[Date]], "mmm")</f>
        <v>Jan</v>
      </c>
      <c r="C171" s="64" t="str">
        <f>IFERROR(LOOKUP(TimeLogTable[[#This Row],[Date]],Table44[Start Date],Table44[Week Of]),"")</f>
        <v/>
      </c>
      <c r="D171" s="65" t="str">
        <f>TEXT(TimeLogTable[[#This Row],[Date]],"dddd")</f>
        <v>Saturday</v>
      </c>
      <c r="E171" s="67" t="str">
        <f>IFERROR(LOOKUP(TimeLogTable[[#This Row],[Start
Time]],Table4[Start Time],Table4[Time of Day]),"")</f>
        <v/>
      </c>
      <c r="F171" s="67" t="str">
        <f>IFERROR(INDEX(Projects[Productive],MATCH(TimeLogTable[[#This Row],[Task ID]],Projects[Task ID],0)),"")</f>
        <v/>
      </c>
      <c r="G171" s="66"/>
      <c r="H171" s="65"/>
      <c r="I171" s="43"/>
      <c r="J171" s="43"/>
      <c r="K171" s="43"/>
      <c r="L171" s="22"/>
      <c r="M171" s="22"/>
      <c r="N171" s="22"/>
      <c r="O171" s="18"/>
      <c r="P171" s="68">
        <f t="shared" si="5"/>
        <v>0</v>
      </c>
      <c r="Q171" s="16" t="str">
        <f>IF(AND(TimeLogTable[[#This Row],[Date]]&gt;=$M$8,TimeLogTable[[#This Row],[Date]]&lt;=$M$9),"yes","no")</f>
        <v>no</v>
      </c>
    </row>
    <row r="172" spans="1:17">
      <c r="A172" s="63" t="str">
        <f>TEXT(TimeLogTable[[#This Row],[Date]], "yyyy")</f>
        <v>1900</v>
      </c>
      <c r="B172" s="63" t="str">
        <f>TEXT(TimeLogTable[[#This Row],[Date]], "mmm")</f>
        <v>Jan</v>
      </c>
      <c r="C172" s="64" t="str">
        <f>IFERROR(LOOKUP(TimeLogTable[[#This Row],[Date]],Table44[Start Date],Table44[Week Of]),"")</f>
        <v/>
      </c>
      <c r="D172" s="65" t="str">
        <f>TEXT(TimeLogTable[[#This Row],[Date]],"dddd")</f>
        <v>Saturday</v>
      </c>
      <c r="E172" s="67" t="str">
        <f>IFERROR(LOOKUP(TimeLogTable[[#This Row],[Start
Time]],Table4[Start Time],Table4[Time of Day]),"")</f>
        <v/>
      </c>
      <c r="F172" s="67" t="str">
        <f>IFERROR(INDEX(Projects[Productive],MATCH(TimeLogTable[[#This Row],[Task ID]],Projects[Task ID],0)),"")</f>
        <v/>
      </c>
      <c r="G172" s="66"/>
      <c r="H172" s="65"/>
      <c r="I172" s="43"/>
      <c r="J172" s="43"/>
      <c r="K172" s="43"/>
      <c r="L172" s="22"/>
      <c r="M172" s="22"/>
      <c r="N172" s="22"/>
      <c r="O172" s="18"/>
      <c r="P172" s="68">
        <f t="shared" si="5"/>
        <v>0</v>
      </c>
      <c r="Q172" s="16" t="str">
        <f>IF(AND(TimeLogTable[[#This Row],[Date]]&gt;=$M$8,TimeLogTable[[#This Row],[Date]]&lt;=$M$9),"yes","no")</f>
        <v>no</v>
      </c>
    </row>
    <row r="173" spans="1:17">
      <c r="A173" s="63" t="str">
        <f>TEXT(TimeLogTable[[#This Row],[Date]], "yyyy")</f>
        <v>1900</v>
      </c>
      <c r="B173" s="63" t="str">
        <f>TEXT(TimeLogTable[[#This Row],[Date]], "mmm")</f>
        <v>Jan</v>
      </c>
      <c r="C173" s="64" t="str">
        <f>IFERROR(LOOKUP(TimeLogTable[[#This Row],[Date]],Table44[Start Date],Table44[Week Of]),"")</f>
        <v/>
      </c>
      <c r="D173" s="65" t="str">
        <f>TEXT(TimeLogTable[[#This Row],[Date]],"dddd")</f>
        <v>Saturday</v>
      </c>
      <c r="E173" s="67" t="str">
        <f>IFERROR(LOOKUP(TimeLogTable[[#This Row],[Start
Time]],Table4[Start Time],Table4[Time of Day]),"")</f>
        <v/>
      </c>
      <c r="F173" s="67" t="str">
        <f>IFERROR(INDEX(Projects[Productive],MATCH(TimeLogTable[[#This Row],[Task ID]],Projects[Task ID],0)),"")</f>
        <v/>
      </c>
      <c r="G173" s="66"/>
      <c r="H173" s="65"/>
      <c r="I173" s="43"/>
      <c r="J173" s="43"/>
      <c r="K173" s="43"/>
      <c r="L173" s="22"/>
      <c r="M173" s="22"/>
      <c r="N173" s="22"/>
      <c r="O173" s="18"/>
      <c r="P173" s="68">
        <f t="shared" si="5"/>
        <v>0</v>
      </c>
      <c r="Q173" s="16" t="str">
        <f>IF(AND(TimeLogTable[[#This Row],[Date]]&gt;=$M$8,TimeLogTable[[#This Row],[Date]]&lt;=$M$9),"yes","no")</f>
        <v>no</v>
      </c>
    </row>
  </sheetData>
  <phoneticPr fontId="0" type="noConversion"/>
  <dataValidations count="2">
    <dataValidation type="list" allowBlank="1" showInputMessage="1" showErrorMessage="1" sqref="H14:H173" xr:uid="{B2E7B4CD-5BC4-47F5-A4E4-0FF8F3F73EF4}">
      <formula1>projectID_list</formula1>
    </dataValidation>
    <dataValidation type="list" allowBlank="1" showInputMessage="1" showErrorMessage="1" errorTitle="Must select task ID" error="Must selec predetermined task ID located on Projects tab." sqref="I14:I173" xr:uid="{EFD9D4D8-BBCA-429C-82ED-86A2A29C30D6}">
      <formula1>OFFSET(taskIDlabel,MATCH(H14,taskIDList_ProjectID,0),0,COUNTIF(taskIDList_ProjectID,H14),1)</formula1>
    </dataValidation>
  </dataValidations>
  <printOptions horizontalCentered="1"/>
  <pageMargins left="0.25" right="0.25" top="0.75" bottom="0.75" header="0.3" footer="0.3"/>
  <pageSetup scale="28" orientation="portrait" r:id="rId1"/>
  <headerFooter alignWithMargins="0">
    <oddFooter>&amp;L&amp;8Time Tracking Template by Vertex42.com&amp;R&amp;8© 2013 Vertex42 LLC</oddFooter>
  </headerFooter>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21"/>
  <sheetViews>
    <sheetView showGridLines="0" workbookViewId="0">
      <selection activeCell="K31" sqref="K31"/>
    </sheetView>
  </sheetViews>
  <sheetFormatPr defaultRowHeight="14.4"/>
  <cols>
    <col min="1" max="1" width="20" bestFit="1" customWidth="1"/>
    <col min="2" max="2" width="16.77734375" bestFit="1" customWidth="1"/>
    <col min="3" max="5" width="5" bestFit="1" customWidth="1"/>
    <col min="6" max="6" width="5.77734375" bestFit="1" customWidth="1"/>
    <col min="7" max="10" width="5" bestFit="1" customWidth="1"/>
  </cols>
  <sheetData>
    <row r="1" spans="1:7" ht="23.4">
      <c r="A1" s="14" t="s">
        <v>6</v>
      </c>
      <c r="B1" s="14"/>
      <c r="C1" s="14"/>
    </row>
    <row r="2" spans="1:7">
      <c r="A2" s="12"/>
      <c r="B2" s="12"/>
      <c r="C2" s="12"/>
      <c r="D2" s="12"/>
    </row>
    <row r="3" spans="1:7" ht="15" customHeight="1">
      <c r="C3" s="12"/>
      <c r="D3" s="12"/>
    </row>
    <row r="4" spans="1:7">
      <c r="A4" s="6" t="s">
        <v>67</v>
      </c>
      <c r="B4" s="1" t="s">
        <v>69</v>
      </c>
      <c r="C4" s="12"/>
      <c r="D4" s="12"/>
    </row>
    <row r="5" spans="1:7" ht="15" thickBot="1">
      <c r="A5" s="12"/>
      <c r="B5" s="12"/>
      <c r="C5" s="17"/>
      <c r="D5" s="12"/>
    </row>
    <row r="6" spans="1:7" ht="15" thickBot="1">
      <c r="A6" s="84" t="s">
        <v>1</v>
      </c>
      <c r="B6" s="85" t="s">
        <v>4</v>
      </c>
    </row>
    <row r="7" spans="1:7">
      <c r="A7" s="53" t="s">
        <v>33</v>
      </c>
      <c r="B7" s="81">
        <v>55.900000000000006</v>
      </c>
    </row>
    <row r="8" spans="1:7">
      <c r="A8" s="53" t="s">
        <v>29</v>
      </c>
      <c r="B8" s="81">
        <v>5.75</v>
      </c>
    </row>
    <row r="9" spans="1:7">
      <c r="A9" s="53" t="s">
        <v>26</v>
      </c>
      <c r="B9" s="81">
        <v>12</v>
      </c>
    </row>
    <row r="10" spans="1:7">
      <c r="A10" s="53" t="s">
        <v>38</v>
      </c>
      <c r="B10" s="81">
        <v>18</v>
      </c>
    </row>
    <row r="11" spans="1:7">
      <c r="A11" s="53" t="s">
        <v>49</v>
      </c>
      <c r="B11" s="81">
        <v>14</v>
      </c>
    </row>
    <row r="12" spans="1:7">
      <c r="A12" s="53" t="s">
        <v>107</v>
      </c>
      <c r="B12" s="81">
        <v>72</v>
      </c>
    </row>
    <row r="14" spans="1:7">
      <c r="E14" s="1"/>
      <c r="F14" s="1"/>
      <c r="G14" s="1"/>
    </row>
    <row r="15" spans="1:7">
      <c r="E15" s="1"/>
      <c r="F15" s="1"/>
      <c r="G15" s="1"/>
    </row>
    <row r="16" spans="1:7">
      <c r="E16" s="1"/>
      <c r="F16" s="1"/>
      <c r="G16" s="1"/>
    </row>
    <row r="17" spans="5:7">
      <c r="E17" s="1"/>
      <c r="F17" s="1"/>
      <c r="G17" s="1"/>
    </row>
    <row r="18" spans="5:7">
      <c r="E18" s="1"/>
      <c r="F18" s="1"/>
      <c r="G18" s="1"/>
    </row>
    <row r="19" spans="5:7">
      <c r="E19" s="1"/>
      <c r="F19" s="1"/>
      <c r="G19" s="1"/>
    </row>
    <row r="20" spans="5:7">
      <c r="E20" s="1"/>
      <c r="F20" s="1"/>
      <c r="G20" s="1"/>
    </row>
    <row r="21" spans="5:7">
      <c r="E21" s="1"/>
      <c r="F21" s="1"/>
      <c r="G21" s="1"/>
    </row>
  </sheetData>
  <pageMargins left="0.75" right="0.75" top="1" bottom="1" header="0.5" footer="0.5"/>
  <pageSetup orientation="portrait" r:id="rId2"/>
  <headerFooter alignWithMargins="0"/>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40F9-C6BC-4775-B9CF-311D97063F90}">
  <sheetPr codeName="Sheet4"/>
  <dimension ref="A1:D15"/>
  <sheetViews>
    <sheetView showGridLines="0" workbookViewId="0">
      <selection activeCell="A9" sqref="A9"/>
    </sheetView>
  </sheetViews>
  <sheetFormatPr defaultRowHeight="14.4"/>
  <cols>
    <col min="1" max="1" width="21.88671875" style="1" bestFit="1" customWidth="1"/>
    <col min="2" max="2" width="16.77734375" style="1" bestFit="1" customWidth="1"/>
    <col min="3" max="3" width="6.109375" style="1" bestFit="1" customWidth="1"/>
    <col min="4" max="4" width="6.5546875" style="1" bestFit="1" customWidth="1"/>
    <col min="5" max="5" width="22.6640625" style="1" customWidth="1"/>
    <col min="6" max="6" width="21.109375" style="1" customWidth="1"/>
    <col min="7" max="7" width="4.5546875" style="1" customWidth="1"/>
    <col min="8" max="8" width="47.5546875" style="1" customWidth="1"/>
    <col min="9" max="16384" width="8.88671875" style="1"/>
  </cols>
  <sheetData>
    <row r="1" spans="1:4" ht="23.4">
      <c r="A1" s="14" t="s">
        <v>6</v>
      </c>
      <c r="B1" s="14"/>
      <c r="C1" s="14"/>
    </row>
    <row r="2" spans="1:4">
      <c r="A2" s="12"/>
      <c r="B2" s="12"/>
      <c r="C2" s="12"/>
      <c r="D2" s="12"/>
    </row>
    <row r="3" spans="1:4" ht="15" customHeight="1">
      <c r="A3"/>
      <c r="B3"/>
      <c r="C3" s="12"/>
      <c r="D3" s="12"/>
    </row>
    <row r="4" spans="1:4">
      <c r="A4" s="6" t="s">
        <v>67</v>
      </c>
      <c r="B4" s="1" t="s">
        <v>69</v>
      </c>
      <c r="C4" s="12"/>
      <c r="D4" s="12"/>
    </row>
    <row r="5" spans="1:4" ht="15" thickBot="1">
      <c r="A5" s="12"/>
      <c r="B5" s="12"/>
      <c r="C5" s="17"/>
      <c r="D5" s="12"/>
    </row>
    <row r="6" spans="1:4" ht="15" thickBot="1">
      <c r="A6" s="84" t="s">
        <v>0</v>
      </c>
      <c r="B6" s="85" t="s">
        <v>4</v>
      </c>
      <c r="C6"/>
    </row>
    <row r="7" spans="1:4">
      <c r="A7" s="53" t="s">
        <v>45</v>
      </c>
      <c r="B7" s="81">
        <v>39</v>
      </c>
      <c r="C7"/>
    </row>
    <row r="8" spans="1:4">
      <c r="A8" s="53" t="s">
        <v>28</v>
      </c>
      <c r="B8" s="81">
        <v>2.75</v>
      </c>
      <c r="C8"/>
    </row>
    <row r="9" spans="1:4">
      <c r="A9" s="53" t="s">
        <v>32</v>
      </c>
      <c r="B9" s="81">
        <v>1</v>
      </c>
      <c r="C9"/>
    </row>
    <row r="10" spans="1:4">
      <c r="A10" s="53" t="s">
        <v>39</v>
      </c>
      <c r="B10" s="81">
        <v>12</v>
      </c>
      <c r="C10"/>
    </row>
    <row r="11" spans="1:4">
      <c r="A11" s="53" t="s">
        <v>56</v>
      </c>
      <c r="B11" s="81">
        <v>8</v>
      </c>
      <c r="C11"/>
    </row>
    <row r="12" spans="1:4">
      <c r="A12" s="53" t="s">
        <v>50</v>
      </c>
      <c r="B12" s="81">
        <v>8</v>
      </c>
      <c r="C12"/>
    </row>
    <row r="13" spans="1:4">
      <c r="A13" s="53" t="s">
        <v>78</v>
      </c>
      <c r="B13" s="81">
        <v>5.6</v>
      </c>
      <c r="C13"/>
    </row>
    <row r="14" spans="1:4">
      <c r="A14" s="53" t="s">
        <v>79</v>
      </c>
      <c r="B14" s="81">
        <v>24</v>
      </c>
      <c r="C14"/>
    </row>
    <row r="15" spans="1:4">
      <c r="A15"/>
      <c r="B15"/>
    </row>
  </sheetData>
  <pageMargins left="0.75" right="0.75" top="1" bottom="1" header="0.5" footer="0.5"/>
  <pageSetup orientation="portrait" r:id="rId2"/>
  <headerFooter alignWithMargins="0"/>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3CF85-E727-4DD9-9673-858E31101C71}">
  <sheetPr codeName="Sheet6"/>
  <dimension ref="A1:H57"/>
  <sheetViews>
    <sheetView showGridLines="0" workbookViewId="0">
      <selection activeCell="E7" sqref="E7"/>
    </sheetView>
  </sheetViews>
  <sheetFormatPr defaultRowHeight="14.4"/>
  <cols>
    <col min="1" max="1" width="10.44140625" style="1" bestFit="1" customWidth="1"/>
    <col min="2" max="2" width="6.88671875" style="1" bestFit="1" customWidth="1"/>
    <col min="3" max="4" width="16.44140625" style="1" bestFit="1" customWidth="1"/>
    <col min="5" max="5" width="11.33203125" style="1" bestFit="1" customWidth="1"/>
    <col min="6" max="6" width="14.109375" style="1" bestFit="1" customWidth="1"/>
    <col min="7" max="7" width="18.109375" style="1" bestFit="1" customWidth="1"/>
    <col min="8" max="8" width="18.5546875" style="1" bestFit="1" customWidth="1"/>
    <col min="9" max="16384" width="8.88671875" style="1"/>
  </cols>
  <sheetData>
    <row r="1" spans="1:8" ht="23.4">
      <c r="A1" s="14" t="s">
        <v>6</v>
      </c>
      <c r="B1" s="14"/>
      <c r="C1" s="14"/>
    </row>
    <row r="2" spans="1:8">
      <c r="A2" s="12"/>
      <c r="B2" s="12"/>
      <c r="C2" s="12"/>
      <c r="D2" s="12"/>
    </row>
    <row r="3" spans="1:8" ht="15" customHeight="1">
      <c r="C3" s="12"/>
      <c r="D3" s="12"/>
    </row>
    <row r="4" spans="1:8">
      <c r="A4" s="6" t="s">
        <v>67</v>
      </c>
      <c r="B4" s="1" t="s">
        <v>105</v>
      </c>
      <c r="C4" s="12"/>
      <c r="D4" s="12"/>
    </row>
    <row r="5" spans="1:8" ht="15" thickBot="1">
      <c r="A5" s="12"/>
      <c r="B5" s="12"/>
      <c r="C5" s="17"/>
      <c r="D5" s="12"/>
    </row>
    <row r="6" spans="1:8" ht="15" thickBot="1">
      <c r="A6" s="86" t="s">
        <v>4</v>
      </c>
      <c r="B6" s="82"/>
      <c r="C6" s="84" t="s">
        <v>72</v>
      </c>
      <c r="D6" s="86"/>
      <c r="E6" s="82"/>
      <c r="F6"/>
      <c r="G6"/>
      <c r="H6"/>
    </row>
    <row r="7" spans="1:8" ht="15" thickBot="1">
      <c r="A7" s="84" t="s">
        <v>3</v>
      </c>
      <c r="B7" s="84" t="s">
        <v>91</v>
      </c>
      <c r="C7" s="1" t="s">
        <v>112</v>
      </c>
      <c r="D7" s="1" t="s">
        <v>113</v>
      </c>
      <c r="E7" s="85" t="s">
        <v>106</v>
      </c>
      <c r="F7"/>
      <c r="G7"/>
      <c r="H7"/>
    </row>
    <row r="8" spans="1:8">
      <c r="A8" s="53" t="s">
        <v>99</v>
      </c>
      <c r="B8"/>
      <c r="C8" s="83">
        <v>0.68235294117647061</v>
      </c>
      <c r="D8" s="83">
        <v>0.31764705882352939</v>
      </c>
      <c r="E8" s="83">
        <v>1</v>
      </c>
      <c r="F8"/>
      <c r="G8"/>
      <c r="H8"/>
    </row>
    <row r="9" spans="1:8">
      <c r="A9" s="53" t="s">
        <v>100</v>
      </c>
      <c r="B9"/>
      <c r="C9" s="83">
        <v>0.68604651162790697</v>
      </c>
      <c r="D9" s="83">
        <v>0.31395348837209303</v>
      </c>
      <c r="E9" s="83">
        <v>1</v>
      </c>
      <c r="F9"/>
      <c r="G9"/>
      <c r="H9"/>
    </row>
    <row r="10" spans="1:8">
      <c r="A10" s="53" t="s">
        <v>101</v>
      </c>
      <c r="B10"/>
      <c r="C10" s="83">
        <v>0.68604651162790697</v>
      </c>
      <c r="D10" s="83">
        <v>0.31395348837209303</v>
      </c>
      <c r="E10" s="83">
        <v>1</v>
      </c>
      <c r="F10"/>
      <c r="G10"/>
      <c r="H10"/>
    </row>
    <row r="11" spans="1:8">
      <c r="A11" s="53" t="s">
        <v>102</v>
      </c>
      <c r="B11"/>
      <c r="C11" s="83">
        <v>0.5178571428571429</v>
      </c>
      <c r="D11" s="83">
        <v>0.48214285714285715</v>
      </c>
      <c r="E11" s="83">
        <v>1</v>
      </c>
      <c r="F11"/>
      <c r="G11"/>
      <c r="H11"/>
    </row>
    <row r="12" spans="1:8">
      <c r="A12" s="53" t="s">
        <v>103</v>
      </c>
      <c r="B12"/>
      <c r="C12" s="83">
        <v>1</v>
      </c>
      <c r="D12" s="83">
        <v>0</v>
      </c>
      <c r="E12" s="83">
        <v>1</v>
      </c>
      <c r="F12"/>
      <c r="G12"/>
      <c r="H12"/>
    </row>
    <row r="13" spans="1:8">
      <c r="A13" s="53" t="s">
        <v>104</v>
      </c>
      <c r="B13"/>
      <c r="C13" s="83">
        <v>0.92366412213740456</v>
      </c>
      <c r="D13" s="83">
        <v>7.6335877862595422E-2</v>
      </c>
      <c r="E13" s="83">
        <v>1</v>
      </c>
      <c r="F13"/>
      <c r="G13"/>
      <c r="H13"/>
    </row>
    <row r="14" spans="1:8">
      <c r="A14"/>
      <c r="B14"/>
      <c r="C14"/>
      <c r="D14"/>
      <c r="E14"/>
      <c r="F14"/>
      <c r="G14"/>
      <c r="H14"/>
    </row>
    <row r="15" spans="1:8">
      <c r="A15"/>
      <c r="B15"/>
      <c r="C15"/>
      <c r="D15"/>
      <c r="E15"/>
    </row>
    <row r="16" spans="1:8">
      <c r="A16"/>
      <c r="B16"/>
      <c r="C16"/>
      <c r="D16"/>
      <c r="E16"/>
    </row>
    <row r="17" spans="1:5">
      <c r="A17"/>
      <c r="B17"/>
      <c r="C17"/>
      <c r="D17"/>
      <c r="E17"/>
    </row>
    <row r="18" spans="1:5">
      <c r="A18"/>
      <c r="B18"/>
      <c r="C18"/>
      <c r="D18"/>
      <c r="E18"/>
    </row>
    <row r="19" spans="1:5">
      <c r="A19"/>
      <c r="B19"/>
      <c r="C19"/>
      <c r="D19"/>
      <c r="E19"/>
    </row>
    <row r="20" spans="1:5">
      <c r="A20"/>
      <c r="B20"/>
      <c r="C20"/>
      <c r="D20"/>
      <c r="E20"/>
    </row>
    <row r="21" spans="1:5">
      <c r="A21"/>
      <c r="B21"/>
      <c r="C21"/>
      <c r="D21"/>
      <c r="E21"/>
    </row>
    <row r="22" spans="1:5">
      <c r="A22"/>
      <c r="B22"/>
      <c r="C22"/>
      <c r="D22"/>
      <c r="E22"/>
    </row>
    <row r="23" spans="1:5">
      <c r="A23"/>
      <c r="B23"/>
      <c r="C23"/>
      <c r="D23"/>
      <c r="E23"/>
    </row>
    <row r="24" spans="1:5">
      <c r="A24"/>
      <c r="B24"/>
      <c r="C24"/>
      <c r="D24"/>
      <c r="E24"/>
    </row>
    <row r="25" spans="1:5">
      <c r="A25"/>
      <c r="B25"/>
      <c r="C25"/>
      <c r="D25"/>
      <c r="E25"/>
    </row>
    <row r="26" spans="1:5">
      <c r="A26"/>
      <c r="B26"/>
      <c r="C26"/>
      <c r="D26"/>
      <c r="E26"/>
    </row>
    <row r="27" spans="1:5">
      <c r="A27"/>
      <c r="B27"/>
      <c r="C27"/>
      <c r="D27"/>
      <c r="E27"/>
    </row>
    <row r="28" spans="1:5">
      <c r="A28"/>
      <c r="B28"/>
      <c r="C28"/>
      <c r="D28"/>
      <c r="E28"/>
    </row>
    <row r="29" spans="1:5">
      <c r="A29"/>
      <c r="B29"/>
      <c r="C29"/>
      <c r="D29"/>
      <c r="E29"/>
    </row>
    <row r="30" spans="1:5">
      <c r="A30"/>
      <c r="B30"/>
      <c r="C30"/>
      <c r="D30"/>
      <c r="E30"/>
    </row>
    <row r="31" spans="1:5">
      <c r="A31"/>
      <c r="B31"/>
      <c r="C31"/>
      <c r="D31"/>
      <c r="E31"/>
    </row>
    <row r="32" spans="1:5">
      <c r="A32"/>
      <c r="B32"/>
      <c r="C32"/>
      <c r="D32"/>
      <c r="E32"/>
    </row>
    <row r="33" spans="1:5">
      <c r="A33"/>
      <c r="B33"/>
      <c r="C33"/>
      <c r="D33"/>
      <c r="E33"/>
    </row>
    <row r="34" spans="1:5">
      <c r="A34"/>
      <c r="B34"/>
      <c r="C34"/>
      <c r="D34"/>
      <c r="E34"/>
    </row>
    <row r="35" spans="1:5">
      <c r="A35"/>
      <c r="B35"/>
      <c r="C35"/>
      <c r="D35"/>
      <c r="E35"/>
    </row>
    <row r="36" spans="1:5">
      <c r="A36"/>
      <c r="B36"/>
      <c r="C36"/>
      <c r="D36"/>
      <c r="E36"/>
    </row>
    <row r="37" spans="1:5">
      <c r="A37"/>
      <c r="B37"/>
      <c r="C37"/>
      <c r="D37"/>
      <c r="E37"/>
    </row>
    <row r="38" spans="1:5">
      <c r="A38"/>
      <c r="B38"/>
      <c r="C38"/>
      <c r="D38"/>
      <c r="E38"/>
    </row>
    <row r="39" spans="1:5">
      <c r="A39"/>
      <c r="B39"/>
      <c r="C39"/>
      <c r="D39"/>
      <c r="E39"/>
    </row>
    <row r="40" spans="1:5">
      <c r="A40"/>
      <c r="B40"/>
      <c r="C40"/>
      <c r="D40"/>
      <c r="E40"/>
    </row>
    <row r="41" spans="1:5">
      <c r="A41"/>
      <c r="B41"/>
      <c r="C41"/>
      <c r="D41"/>
      <c r="E41"/>
    </row>
    <row r="42" spans="1:5">
      <c r="A42"/>
      <c r="B42"/>
      <c r="C42"/>
      <c r="D42"/>
      <c r="E42"/>
    </row>
    <row r="43" spans="1:5">
      <c r="A43"/>
      <c r="B43"/>
      <c r="C43"/>
      <c r="D43"/>
      <c r="E43"/>
    </row>
    <row r="44" spans="1:5">
      <c r="A44"/>
      <c r="B44"/>
      <c r="C44"/>
      <c r="E44"/>
    </row>
    <row r="45" spans="1:5">
      <c r="A45"/>
      <c r="B45"/>
      <c r="C45"/>
      <c r="E45"/>
    </row>
    <row r="46" spans="1:5">
      <c r="A46"/>
      <c r="B46"/>
      <c r="C46"/>
      <c r="E46"/>
    </row>
    <row r="47" spans="1:5">
      <c r="A47"/>
      <c r="B47"/>
      <c r="C47"/>
      <c r="E47"/>
    </row>
    <row r="48" spans="1:5">
      <c r="A48"/>
      <c r="B48"/>
      <c r="C48"/>
      <c r="E48"/>
    </row>
    <row r="49" spans="5:5">
      <c r="E49"/>
    </row>
    <row r="50" spans="5:5">
      <c r="E50"/>
    </row>
    <row r="51" spans="5:5">
      <c r="E51"/>
    </row>
    <row r="52" spans="5:5">
      <c r="E52"/>
    </row>
    <row r="53" spans="5:5">
      <c r="E53"/>
    </row>
    <row r="54" spans="5:5">
      <c r="E54"/>
    </row>
    <row r="55" spans="5:5">
      <c r="E55"/>
    </row>
    <row r="56" spans="5:5">
      <c r="E56"/>
    </row>
    <row r="57" spans="5:5">
      <c r="E57"/>
    </row>
  </sheetData>
  <pageMargins left="0.75" right="0.75" top="1" bottom="1" header="0.5" footer="0.5"/>
  <pageSetup orientation="portrait" r:id="rId2"/>
  <headerFooter alignWithMargins="0"/>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117"/>
  <sheetViews>
    <sheetView showGridLines="0" zoomScale="85" zoomScaleNormal="85" workbookViewId="0">
      <selection activeCell="B5" sqref="B5"/>
    </sheetView>
  </sheetViews>
  <sheetFormatPr defaultRowHeight="14.4"/>
  <cols>
    <col min="1" max="1" width="11.44140625" style="5" bestFit="1" customWidth="1"/>
    <col min="2" max="2" width="28.33203125" customWidth="1"/>
    <col min="3" max="3" width="26.77734375" customWidth="1"/>
    <col min="4" max="4" width="23.109375" bestFit="1" customWidth="1"/>
    <col min="5" max="5" width="5.88671875" style="1" customWidth="1"/>
    <col min="6" max="6" width="25.6640625" customWidth="1"/>
    <col min="7" max="7" width="4.88671875" customWidth="1"/>
    <col min="8" max="8" width="4.6640625" customWidth="1"/>
    <col min="9" max="9" width="22.88671875" customWidth="1"/>
    <col min="10" max="10" width="24.6640625" customWidth="1"/>
    <col min="11" max="11" width="11" bestFit="1" customWidth="1"/>
    <col min="12" max="12" width="12.5546875" bestFit="1" customWidth="1"/>
    <col min="13" max="13" width="11.5546875" bestFit="1" customWidth="1"/>
    <col min="14" max="14" width="13.77734375" bestFit="1" customWidth="1"/>
    <col min="16" max="16" width="12.5546875" bestFit="1" customWidth="1"/>
    <col min="17" max="17" width="11.5546875" bestFit="1" customWidth="1"/>
    <col min="18" max="18" width="18.6640625" bestFit="1" customWidth="1"/>
  </cols>
  <sheetData>
    <row r="1" spans="1:5" s="1" customFormat="1">
      <c r="A1" s="5"/>
    </row>
    <row r="2" spans="1:5" ht="20.25" customHeight="1" thickBot="1">
      <c r="A2" s="13" t="s">
        <v>7</v>
      </c>
      <c r="B2" s="13"/>
      <c r="C2" s="13"/>
    </row>
    <row r="3" spans="1:5" ht="15.6" thickTop="1" thickBot="1"/>
    <row r="4" spans="1:5" ht="14.4" customHeight="1" thickBot="1">
      <c r="A4" s="78" t="s">
        <v>5</v>
      </c>
      <c r="B4" s="79" t="s">
        <v>1</v>
      </c>
      <c r="C4" s="79" t="s">
        <v>0</v>
      </c>
      <c r="D4" s="80" t="s">
        <v>71</v>
      </c>
      <c r="E4" s="7"/>
    </row>
    <row r="5" spans="1:5">
      <c r="A5" s="95" t="s">
        <v>98</v>
      </c>
      <c r="B5" s="95" t="s">
        <v>98</v>
      </c>
      <c r="C5" s="95" t="s">
        <v>98</v>
      </c>
      <c r="D5" s="95" t="s">
        <v>98</v>
      </c>
      <c r="E5" s="11"/>
    </row>
    <row r="6" spans="1:5" ht="15" customHeight="1">
      <c r="A6" s="75" t="s">
        <v>2</v>
      </c>
      <c r="B6" s="76" t="s">
        <v>23</v>
      </c>
      <c r="C6" s="76" t="s">
        <v>24</v>
      </c>
      <c r="D6" s="77" t="s">
        <v>112</v>
      </c>
      <c r="E6" s="11"/>
    </row>
    <row r="7" spans="1:5">
      <c r="A7" s="72" t="s">
        <v>2</v>
      </c>
      <c r="B7" s="73" t="s">
        <v>23</v>
      </c>
      <c r="C7" s="73" t="s">
        <v>25</v>
      </c>
      <c r="D7" s="74" t="s">
        <v>112</v>
      </c>
      <c r="E7" s="11"/>
    </row>
    <row r="8" spans="1:5">
      <c r="A8" s="72" t="s">
        <v>2</v>
      </c>
      <c r="B8" s="73" t="s">
        <v>26</v>
      </c>
      <c r="C8" s="73" t="s">
        <v>30</v>
      </c>
      <c r="D8" s="74" t="s">
        <v>113</v>
      </c>
      <c r="E8" s="11"/>
    </row>
    <row r="9" spans="1:5">
      <c r="A9" s="72" t="s">
        <v>2</v>
      </c>
      <c r="B9" s="73" t="s">
        <v>26</v>
      </c>
      <c r="C9" s="73" t="s">
        <v>35</v>
      </c>
      <c r="D9" s="74" t="s">
        <v>113</v>
      </c>
      <c r="E9" s="11"/>
    </row>
    <row r="10" spans="1:5">
      <c r="A10" s="72" t="s">
        <v>2</v>
      </c>
      <c r="B10" s="73" t="s">
        <v>26</v>
      </c>
      <c r="C10" s="73" t="s">
        <v>55</v>
      </c>
      <c r="D10" s="74" t="s">
        <v>113</v>
      </c>
      <c r="E10" s="11"/>
    </row>
    <row r="11" spans="1:5">
      <c r="A11" s="72" t="s">
        <v>2</v>
      </c>
      <c r="B11" s="73" t="s">
        <v>26</v>
      </c>
      <c r="C11" s="73" t="s">
        <v>56</v>
      </c>
      <c r="D11" s="74" t="s">
        <v>113</v>
      </c>
      <c r="E11" s="11"/>
    </row>
    <row r="12" spans="1:5">
      <c r="A12" s="72" t="s">
        <v>2</v>
      </c>
      <c r="B12" s="73" t="s">
        <v>49</v>
      </c>
      <c r="C12" s="73" t="s">
        <v>50</v>
      </c>
      <c r="D12" s="74" t="s">
        <v>113</v>
      </c>
      <c r="E12" s="11"/>
    </row>
    <row r="13" spans="1:5">
      <c r="A13" s="72" t="s">
        <v>2</v>
      </c>
      <c r="B13" s="73" t="s">
        <v>49</v>
      </c>
      <c r="C13" s="73" t="s">
        <v>51</v>
      </c>
      <c r="D13" s="74" t="s">
        <v>113</v>
      </c>
      <c r="E13" s="11"/>
    </row>
    <row r="14" spans="1:5">
      <c r="A14" s="72" t="s">
        <v>2</v>
      </c>
      <c r="B14" s="73" t="s">
        <v>114</v>
      </c>
      <c r="C14" s="73" t="s">
        <v>43</v>
      </c>
      <c r="D14" s="74" t="s">
        <v>113</v>
      </c>
      <c r="E14" s="11"/>
    </row>
    <row r="15" spans="1:5">
      <c r="A15" s="72" t="s">
        <v>2</v>
      </c>
      <c r="B15" s="73" t="s">
        <v>114</v>
      </c>
      <c r="C15" s="73" t="s">
        <v>44</v>
      </c>
      <c r="D15" s="74" t="s">
        <v>113</v>
      </c>
      <c r="E15" s="11"/>
    </row>
    <row r="16" spans="1:5">
      <c r="A16" s="72" t="s">
        <v>2</v>
      </c>
      <c r="B16" s="73" t="s">
        <v>114</v>
      </c>
      <c r="C16" s="73" t="s">
        <v>42</v>
      </c>
      <c r="D16" s="74" t="s">
        <v>112</v>
      </c>
      <c r="E16" s="11"/>
    </row>
    <row r="17" spans="1:18" ht="15" thickBot="1">
      <c r="A17" s="72" t="s">
        <v>2</v>
      </c>
      <c r="B17" s="73" t="s">
        <v>38</v>
      </c>
      <c r="C17" s="73" t="s">
        <v>41</v>
      </c>
      <c r="D17" s="74" t="s">
        <v>113</v>
      </c>
      <c r="E17" s="11"/>
      <c r="F17" s="15" t="s">
        <v>8</v>
      </c>
      <c r="I17" s="15" t="s">
        <v>9</v>
      </c>
    </row>
    <row r="18" spans="1:18" ht="15" thickBot="1">
      <c r="A18" s="72" t="s">
        <v>2</v>
      </c>
      <c r="B18" s="73" t="s">
        <v>38</v>
      </c>
      <c r="C18" s="73" t="s">
        <v>31</v>
      </c>
      <c r="D18" s="74" t="s">
        <v>113</v>
      </c>
      <c r="E18" s="11"/>
      <c r="F18" s="6" t="s">
        <v>5</v>
      </c>
      <c r="G18" s="1" t="s">
        <v>105</v>
      </c>
      <c r="I18" s="6" t="s">
        <v>5</v>
      </c>
      <c r="J18" s="1" t="s">
        <v>105</v>
      </c>
      <c r="L18" s="49" t="s">
        <v>82</v>
      </c>
      <c r="M18" s="50"/>
      <c r="N18" s="51"/>
      <c r="P18" s="49" t="s">
        <v>92</v>
      </c>
      <c r="Q18" s="50"/>
      <c r="R18" s="51"/>
    </row>
    <row r="19" spans="1:18" ht="15" thickBot="1">
      <c r="A19" s="72" t="s">
        <v>2</v>
      </c>
      <c r="B19" s="73" t="s">
        <v>38</v>
      </c>
      <c r="C19" s="73" t="s">
        <v>39</v>
      </c>
      <c r="D19" s="74" t="s">
        <v>113</v>
      </c>
      <c r="E19" s="11"/>
      <c r="L19" s="58" t="s">
        <v>83</v>
      </c>
      <c r="M19" s="59" t="s">
        <v>84</v>
      </c>
      <c r="N19" s="60" t="s">
        <v>70</v>
      </c>
      <c r="P19" s="58" t="s">
        <v>93</v>
      </c>
      <c r="Q19" s="59" t="s">
        <v>94</v>
      </c>
      <c r="R19" s="60" t="s">
        <v>95</v>
      </c>
    </row>
    <row r="20" spans="1:18">
      <c r="A20" s="72" t="s">
        <v>2</v>
      </c>
      <c r="B20" s="73" t="s">
        <v>38</v>
      </c>
      <c r="C20" s="73" t="s">
        <v>40</v>
      </c>
      <c r="D20" s="74" t="s">
        <v>113</v>
      </c>
      <c r="E20" s="11"/>
      <c r="F20" s="6" t="s">
        <v>109</v>
      </c>
      <c r="I20" s="6" t="s">
        <v>109</v>
      </c>
      <c r="J20" s="6" t="s">
        <v>0</v>
      </c>
      <c r="L20" s="54">
        <v>0.20833333333333334</v>
      </c>
      <c r="M20" s="54">
        <v>0.3743055555555555</v>
      </c>
      <c r="N20" s="55" t="s">
        <v>85</v>
      </c>
      <c r="P20" s="62">
        <v>44277</v>
      </c>
      <c r="Q20" s="62">
        <f>Table44[[#This Row],[Start Date]]+6</f>
        <v>44283</v>
      </c>
      <c r="R20" s="55" t="str">
        <f>"Week of "&amp;TEXT(Table44[[#This Row],[Start Date]],"mm/dd/yyyy")</f>
        <v>Week of 03/22/2021</v>
      </c>
    </row>
    <row r="21" spans="1:18">
      <c r="A21" s="72" t="s">
        <v>2</v>
      </c>
      <c r="B21" s="73" t="s">
        <v>33</v>
      </c>
      <c r="C21" s="73" t="s">
        <v>78</v>
      </c>
      <c r="D21" s="74" t="s">
        <v>112</v>
      </c>
      <c r="E21" s="11"/>
      <c r="F21" s="1"/>
      <c r="I21" s="1"/>
      <c r="J21" s="1"/>
      <c r="L21" s="52">
        <v>0.375</v>
      </c>
      <c r="M21" s="52">
        <v>0.4993055555555555</v>
      </c>
      <c r="N21" s="52" t="s">
        <v>88</v>
      </c>
      <c r="P21" s="62">
        <v>44284</v>
      </c>
      <c r="Q21" s="62">
        <f>Table44[[#This Row],[Start Date]]+6</f>
        <v>44290</v>
      </c>
      <c r="R21" s="55" t="str">
        <f>"Week of "&amp;TEXT(Table44[[#This Row],[Start Date]],"mm/dd/yyyy")</f>
        <v>Week of 03/29/2021</v>
      </c>
    </row>
    <row r="22" spans="1:18">
      <c r="A22" s="72" t="s">
        <v>2</v>
      </c>
      <c r="B22" s="73" t="s">
        <v>33</v>
      </c>
      <c r="C22" s="73" t="s">
        <v>79</v>
      </c>
      <c r="D22" s="74" t="s">
        <v>112</v>
      </c>
      <c r="E22" s="11"/>
      <c r="F22" s="1" t="s">
        <v>23</v>
      </c>
      <c r="I22" s="1" t="s">
        <v>23</v>
      </c>
      <c r="J22" s="1" t="s">
        <v>24</v>
      </c>
      <c r="L22" s="52">
        <v>0.5</v>
      </c>
      <c r="M22" s="52">
        <v>0.74930555555555556</v>
      </c>
      <c r="N22" s="53" t="s">
        <v>86</v>
      </c>
      <c r="P22" s="62">
        <v>44291</v>
      </c>
      <c r="Q22" s="62">
        <f>Table44[[#This Row],[Start Date]]+6</f>
        <v>44297</v>
      </c>
      <c r="R22" s="55" t="str">
        <f>"Week of "&amp;TEXT(Table44[[#This Row],[Start Date]],"mm/dd/yyyy")</f>
        <v>Week of 04/05/2021</v>
      </c>
    </row>
    <row r="23" spans="1:18">
      <c r="A23" s="72" t="s">
        <v>2</v>
      </c>
      <c r="B23" s="73" t="s">
        <v>33</v>
      </c>
      <c r="C23" s="73" t="s">
        <v>80</v>
      </c>
      <c r="D23" s="74" t="s">
        <v>112</v>
      </c>
      <c r="E23" s="11"/>
      <c r="F23" s="1" t="s">
        <v>26</v>
      </c>
      <c r="I23" s="1" t="s">
        <v>23</v>
      </c>
      <c r="J23" s="1" t="s">
        <v>25</v>
      </c>
      <c r="L23" s="52">
        <v>0.75</v>
      </c>
      <c r="M23" s="52">
        <v>0.87430555555555556</v>
      </c>
      <c r="N23" s="53" t="s">
        <v>87</v>
      </c>
      <c r="P23" s="62">
        <v>44298</v>
      </c>
      <c r="Q23" s="62">
        <f>Table44[[#This Row],[Start Date]]+6</f>
        <v>44304</v>
      </c>
      <c r="R23" s="55" t="str">
        <f>"Week of "&amp;TEXT(Table44[[#This Row],[Start Date]],"mm/dd/yyyy")</f>
        <v>Week of 04/12/2021</v>
      </c>
    </row>
    <row r="24" spans="1:18">
      <c r="A24" s="72" t="s">
        <v>2</v>
      </c>
      <c r="B24" s="73" t="s">
        <v>33</v>
      </c>
      <c r="C24" s="73" t="s">
        <v>81</v>
      </c>
      <c r="D24" s="74" t="s">
        <v>113</v>
      </c>
      <c r="E24" s="11"/>
      <c r="F24" s="1" t="s">
        <v>49</v>
      </c>
      <c r="I24" s="1" t="s">
        <v>26</v>
      </c>
      <c r="J24" s="1" t="s">
        <v>30</v>
      </c>
      <c r="L24" s="56">
        <v>0.875</v>
      </c>
      <c r="M24" s="56">
        <v>0</v>
      </c>
      <c r="N24" s="57" t="s">
        <v>89</v>
      </c>
      <c r="P24" s="62">
        <v>44305</v>
      </c>
      <c r="Q24" s="62">
        <f>Table44[[#This Row],[Start Date]]+6</f>
        <v>44311</v>
      </c>
      <c r="R24" s="55" t="str">
        <f>"Week of "&amp;TEXT(Table44[[#This Row],[Start Date]],"mm/dd/yyyy")</f>
        <v>Week of 04/19/2021</v>
      </c>
    </row>
    <row r="25" spans="1:18">
      <c r="A25" s="72" t="s">
        <v>2</v>
      </c>
      <c r="B25" s="73" t="s">
        <v>33</v>
      </c>
      <c r="C25" s="73" t="s">
        <v>111</v>
      </c>
      <c r="D25" s="74" t="s">
        <v>112</v>
      </c>
      <c r="E25" s="11"/>
      <c r="F25" s="1" t="s">
        <v>114</v>
      </c>
      <c r="I25" s="1" t="s">
        <v>26</v>
      </c>
      <c r="J25" s="1" t="s">
        <v>35</v>
      </c>
      <c r="P25" s="62">
        <v>44312</v>
      </c>
      <c r="Q25" s="62">
        <f>Table44[[#This Row],[Start Date]]+6</f>
        <v>44318</v>
      </c>
      <c r="R25" s="55" t="str">
        <f>"Week of "&amp;TEXT(Table44[[#This Row],[Start Date]],"mm/dd/yyyy")</f>
        <v>Week of 04/26/2021</v>
      </c>
    </row>
    <row r="26" spans="1:18">
      <c r="A26" s="72" t="s">
        <v>2</v>
      </c>
      <c r="B26" s="73" t="s">
        <v>29</v>
      </c>
      <c r="C26" s="73" t="s">
        <v>28</v>
      </c>
      <c r="D26" s="74" t="s">
        <v>112</v>
      </c>
      <c r="E26" s="11"/>
      <c r="F26" s="1" t="s">
        <v>38</v>
      </c>
      <c r="I26" s="1" t="s">
        <v>26</v>
      </c>
      <c r="J26" s="1" t="s">
        <v>55</v>
      </c>
      <c r="P26" s="62">
        <v>44319</v>
      </c>
      <c r="Q26" s="62">
        <f>Table44[[#This Row],[Start Date]]+6</f>
        <v>44325</v>
      </c>
      <c r="R26" s="55" t="str">
        <f>"Week of "&amp;TEXT(Table44[[#This Row],[Start Date]],"mm/dd/yyyy")</f>
        <v>Week of 05/03/2021</v>
      </c>
    </row>
    <row r="27" spans="1:18">
      <c r="A27" s="72" t="s">
        <v>2</v>
      </c>
      <c r="B27" s="73" t="s">
        <v>29</v>
      </c>
      <c r="C27" s="73" t="s">
        <v>32</v>
      </c>
      <c r="D27" s="74" t="s">
        <v>112</v>
      </c>
      <c r="E27" s="11"/>
      <c r="F27" s="1" t="s">
        <v>33</v>
      </c>
      <c r="I27" s="1" t="s">
        <v>26</v>
      </c>
      <c r="J27" s="1" t="s">
        <v>56</v>
      </c>
      <c r="P27" s="62">
        <v>44326</v>
      </c>
      <c r="Q27" s="62">
        <f>Table44[[#This Row],[Start Date]]+6</f>
        <v>44332</v>
      </c>
      <c r="R27" s="55" t="str">
        <f>"Week of "&amp;TEXT(Table44[[#This Row],[Start Date]],"mm/dd/yyyy")</f>
        <v>Week of 05/10/2021</v>
      </c>
    </row>
    <row r="28" spans="1:18">
      <c r="A28" s="72" t="s">
        <v>2</v>
      </c>
      <c r="B28" s="73" t="s">
        <v>107</v>
      </c>
      <c r="C28" s="73" t="s">
        <v>45</v>
      </c>
      <c r="D28" s="74" t="s">
        <v>112</v>
      </c>
      <c r="E28" s="11"/>
      <c r="F28" s="1" t="s">
        <v>29</v>
      </c>
      <c r="I28" s="1" t="s">
        <v>49</v>
      </c>
      <c r="J28" s="1" t="s">
        <v>50</v>
      </c>
      <c r="P28" s="62">
        <v>44333</v>
      </c>
      <c r="Q28" s="62">
        <f>Table44[[#This Row],[Start Date]]+6</f>
        <v>44339</v>
      </c>
      <c r="R28" s="55" t="str">
        <f>"Week of "&amp;TEXT(Table44[[#This Row],[Start Date]],"mm/dd/yyyy")</f>
        <v>Week of 05/17/2021</v>
      </c>
    </row>
    <row r="29" spans="1:18">
      <c r="A29" s="72" t="s">
        <v>2</v>
      </c>
      <c r="B29" s="73" t="s">
        <v>107</v>
      </c>
      <c r="C29" s="73" t="s">
        <v>46</v>
      </c>
      <c r="D29" s="74" t="s">
        <v>113</v>
      </c>
      <c r="E29" s="11"/>
      <c r="F29" s="1" t="s">
        <v>36</v>
      </c>
      <c r="I29" s="1" t="s">
        <v>49</v>
      </c>
      <c r="J29" s="1" t="s">
        <v>51</v>
      </c>
      <c r="P29" s="62">
        <v>44340</v>
      </c>
      <c r="Q29" s="62">
        <f>Table44[[#This Row],[Start Date]]+6</f>
        <v>44346</v>
      </c>
      <c r="R29" s="55" t="str">
        <f>"Week of "&amp;TEXT(Table44[[#This Row],[Start Date]],"mm/dd/yyyy")</f>
        <v>Week of 05/24/2021</v>
      </c>
    </row>
    <row r="30" spans="1:18">
      <c r="A30" s="72" t="s">
        <v>2</v>
      </c>
      <c r="B30" s="73" t="s">
        <v>29</v>
      </c>
      <c r="C30" s="73" t="s">
        <v>27</v>
      </c>
      <c r="D30" s="74" t="s">
        <v>113</v>
      </c>
      <c r="E30" s="11"/>
      <c r="F30" s="1" t="s">
        <v>107</v>
      </c>
      <c r="I30" s="1" t="s">
        <v>114</v>
      </c>
      <c r="J30" s="1" t="s">
        <v>43</v>
      </c>
      <c r="P30" s="62">
        <v>44347</v>
      </c>
      <c r="Q30" s="62">
        <f>Table44[[#This Row],[Start Date]]+6</f>
        <v>44353</v>
      </c>
      <c r="R30" s="55" t="str">
        <f>"Week of "&amp;TEXT(Table44[[#This Row],[Start Date]],"mm/dd/yyyy")</f>
        <v>Week of 05/31/2021</v>
      </c>
    </row>
    <row r="31" spans="1:18">
      <c r="A31" s="72" t="s">
        <v>2</v>
      </c>
      <c r="B31" s="73" t="s">
        <v>36</v>
      </c>
      <c r="C31" s="73" t="s">
        <v>37</v>
      </c>
      <c r="D31" s="74" t="s">
        <v>112</v>
      </c>
      <c r="E31" s="11"/>
      <c r="F31" s="1" t="s">
        <v>48</v>
      </c>
      <c r="I31" s="1" t="s">
        <v>114</v>
      </c>
      <c r="J31" s="1" t="s">
        <v>44</v>
      </c>
      <c r="P31" s="62">
        <v>44354</v>
      </c>
      <c r="Q31" s="62">
        <f>Table44[[#This Row],[Start Date]]+6</f>
        <v>44360</v>
      </c>
      <c r="R31" s="55" t="str">
        <f>"Week of "&amp;TEXT(Table44[[#This Row],[Start Date]],"mm/dd/yyyy")</f>
        <v>Week of 06/07/2021</v>
      </c>
    </row>
    <row r="32" spans="1:18">
      <c r="A32" s="72" t="s">
        <v>2</v>
      </c>
      <c r="B32" s="73" t="s">
        <v>36</v>
      </c>
      <c r="C32" s="73" t="s">
        <v>34</v>
      </c>
      <c r="D32" s="74" t="s">
        <v>112</v>
      </c>
      <c r="E32" s="11"/>
      <c r="F32" s="1" t="s">
        <v>47</v>
      </c>
      <c r="I32" s="1" t="s">
        <v>114</v>
      </c>
      <c r="J32" s="1" t="s">
        <v>42</v>
      </c>
      <c r="P32" s="62">
        <v>44361</v>
      </c>
      <c r="Q32" s="62">
        <f>Table44[[#This Row],[Start Date]]+6</f>
        <v>44367</v>
      </c>
      <c r="R32" s="55" t="str">
        <f>"Week of "&amp;TEXT(Table44[[#This Row],[Start Date]],"mm/dd/yyyy")</f>
        <v>Week of 06/14/2021</v>
      </c>
    </row>
    <row r="33" spans="1:18">
      <c r="A33" s="72" t="s">
        <v>2</v>
      </c>
      <c r="B33" s="73" t="s">
        <v>48</v>
      </c>
      <c r="C33" s="73" t="s">
        <v>74</v>
      </c>
      <c r="D33" s="74" t="s">
        <v>112</v>
      </c>
      <c r="E33" s="11"/>
      <c r="I33" s="1" t="s">
        <v>38</v>
      </c>
      <c r="J33" s="1" t="s">
        <v>31</v>
      </c>
      <c r="P33" s="62">
        <v>44368</v>
      </c>
      <c r="Q33" s="62">
        <f>Table44[[#This Row],[Start Date]]+6</f>
        <v>44374</v>
      </c>
      <c r="R33" s="55" t="str">
        <f>"Week of "&amp;TEXT(Table44[[#This Row],[Start Date]],"mm/dd/yyyy")</f>
        <v>Week of 06/21/2021</v>
      </c>
    </row>
    <row r="34" spans="1:18">
      <c r="A34" s="72" t="s">
        <v>2</v>
      </c>
      <c r="B34" s="73" t="s">
        <v>48</v>
      </c>
      <c r="C34" s="73" t="s">
        <v>75</v>
      </c>
      <c r="D34" s="74" t="s">
        <v>112</v>
      </c>
      <c r="E34" s="11"/>
      <c r="I34" s="1" t="s">
        <v>38</v>
      </c>
      <c r="J34" s="1" t="s">
        <v>39</v>
      </c>
      <c r="P34" s="62">
        <v>44375</v>
      </c>
      <c r="Q34" s="62">
        <f>Table44[[#This Row],[Start Date]]+6</f>
        <v>44381</v>
      </c>
      <c r="R34" s="55" t="str">
        <f>"Week of "&amp;TEXT(Table44[[#This Row],[Start Date]],"mm/dd/yyyy")</f>
        <v>Week of 06/28/2021</v>
      </c>
    </row>
    <row r="35" spans="1:18">
      <c r="A35" s="72" t="s">
        <v>2</v>
      </c>
      <c r="B35" s="73" t="s">
        <v>48</v>
      </c>
      <c r="C35" s="73" t="s">
        <v>76</v>
      </c>
      <c r="D35" s="74" t="s">
        <v>112</v>
      </c>
      <c r="E35" s="11"/>
      <c r="I35" s="1" t="s">
        <v>38</v>
      </c>
      <c r="J35" s="1" t="s">
        <v>40</v>
      </c>
      <c r="P35" s="62">
        <v>44382</v>
      </c>
      <c r="Q35" s="62">
        <f>Table44[[#This Row],[Start Date]]+6</f>
        <v>44388</v>
      </c>
      <c r="R35" s="55" t="str">
        <f>"Week of "&amp;TEXT(Table44[[#This Row],[Start Date]],"mm/dd/yyyy")</f>
        <v>Week of 07/05/2021</v>
      </c>
    </row>
    <row r="36" spans="1:18">
      <c r="A36" s="72" t="s">
        <v>2</v>
      </c>
      <c r="B36" s="73" t="s">
        <v>47</v>
      </c>
      <c r="C36" s="73" t="s">
        <v>77</v>
      </c>
      <c r="D36" s="74" t="s">
        <v>113</v>
      </c>
      <c r="E36" s="11"/>
      <c r="I36" s="1" t="s">
        <v>38</v>
      </c>
      <c r="J36" s="1" t="s">
        <v>41</v>
      </c>
      <c r="P36" s="62">
        <v>44389</v>
      </c>
      <c r="Q36" s="62">
        <f>Table44[[#This Row],[Start Date]]+6</f>
        <v>44395</v>
      </c>
      <c r="R36" s="55" t="str">
        <f>"Week of "&amp;TEXT(Table44[[#This Row],[Start Date]],"mm/dd/yyyy")</f>
        <v>Week of 07/12/2021</v>
      </c>
    </row>
    <row r="37" spans="1:18">
      <c r="A37" s="8"/>
      <c r="B37" s="9"/>
      <c r="C37" s="9"/>
      <c r="I37" s="1" t="s">
        <v>33</v>
      </c>
      <c r="J37" s="1" t="s">
        <v>78</v>
      </c>
      <c r="P37" s="62">
        <v>44396</v>
      </c>
      <c r="Q37" s="62">
        <f>Table44[[#This Row],[Start Date]]+6</f>
        <v>44402</v>
      </c>
      <c r="R37" s="55" t="str">
        <f>"Week of "&amp;TEXT(Table44[[#This Row],[Start Date]],"mm/dd/yyyy")</f>
        <v>Week of 07/19/2021</v>
      </c>
    </row>
    <row r="38" spans="1:18">
      <c r="I38" s="1" t="s">
        <v>33</v>
      </c>
      <c r="J38" s="1" t="s">
        <v>79</v>
      </c>
      <c r="P38" s="62">
        <v>44403</v>
      </c>
      <c r="Q38" s="62">
        <f>Table44[[#This Row],[Start Date]]+6</f>
        <v>44409</v>
      </c>
      <c r="R38" s="55" t="str">
        <f>"Week of "&amp;TEXT(Table44[[#This Row],[Start Date]],"mm/dd/yyyy")</f>
        <v>Week of 07/26/2021</v>
      </c>
    </row>
    <row r="39" spans="1:18">
      <c r="I39" s="1" t="s">
        <v>33</v>
      </c>
      <c r="J39" s="1" t="s">
        <v>80</v>
      </c>
      <c r="P39" s="62">
        <v>44410</v>
      </c>
      <c r="Q39" s="62">
        <f>Table44[[#This Row],[Start Date]]+6</f>
        <v>44416</v>
      </c>
      <c r="R39" s="55" t="str">
        <f>"Week of "&amp;TEXT(Table44[[#This Row],[Start Date]],"mm/dd/yyyy")</f>
        <v>Week of 08/02/2021</v>
      </c>
    </row>
    <row r="40" spans="1:18">
      <c r="I40" s="1" t="s">
        <v>33</v>
      </c>
      <c r="J40" s="1" t="s">
        <v>81</v>
      </c>
      <c r="P40" s="62">
        <v>44417</v>
      </c>
      <c r="Q40" s="62">
        <f>Table44[[#This Row],[Start Date]]+6</f>
        <v>44423</v>
      </c>
      <c r="R40" s="55" t="str">
        <f>"Week of "&amp;TEXT(Table44[[#This Row],[Start Date]],"mm/dd/yyyy")</f>
        <v>Week of 08/09/2021</v>
      </c>
    </row>
    <row r="41" spans="1:18">
      <c r="I41" s="1" t="s">
        <v>33</v>
      </c>
      <c r="J41" s="1" t="s">
        <v>111</v>
      </c>
      <c r="P41" s="62">
        <v>44424</v>
      </c>
      <c r="Q41" s="62">
        <f>Table44[[#This Row],[Start Date]]+6</f>
        <v>44430</v>
      </c>
      <c r="R41" s="55" t="str">
        <f>"Week of "&amp;TEXT(Table44[[#This Row],[Start Date]],"mm/dd/yyyy")</f>
        <v>Week of 08/16/2021</v>
      </c>
    </row>
    <row r="42" spans="1:18">
      <c r="I42" s="1" t="s">
        <v>29</v>
      </c>
      <c r="J42" s="1" t="s">
        <v>27</v>
      </c>
      <c r="P42" s="62">
        <v>44431</v>
      </c>
      <c r="Q42" s="62">
        <f>Table44[[#This Row],[Start Date]]+6</f>
        <v>44437</v>
      </c>
      <c r="R42" s="55" t="str">
        <f>"Week of "&amp;TEXT(Table44[[#This Row],[Start Date]],"mm/dd/yyyy")</f>
        <v>Week of 08/23/2021</v>
      </c>
    </row>
    <row r="43" spans="1:18">
      <c r="I43" s="1" t="s">
        <v>29</v>
      </c>
      <c r="J43" s="1" t="s">
        <v>28</v>
      </c>
      <c r="P43" s="62">
        <v>44438</v>
      </c>
      <c r="Q43" s="62">
        <f>Table44[[#This Row],[Start Date]]+6</f>
        <v>44444</v>
      </c>
      <c r="R43" s="55" t="str">
        <f>"Week of "&amp;TEXT(Table44[[#This Row],[Start Date]],"mm/dd/yyyy")</f>
        <v>Week of 08/30/2021</v>
      </c>
    </row>
    <row r="44" spans="1:18">
      <c r="I44" s="1" t="s">
        <v>29</v>
      </c>
      <c r="J44" s="1" t="s">
        <v>32</v>
      </c>
      <c r="P44" s="62">
        <v>44445</v>
      </c>
      <c r="Q44" s="62">
        <f>Table44[[#This Row],[Start Date]]+6</f>
        <v>44451</v>
      </c>
      <c r="R44" s="55" t="str">
        <f>"Week of "&amp;TEXT(Table44[[#This Row],[Start Date]],"mm/dd/yyyy")</f>
        <v>Week of 09/06/2021</v>
      </c>
    </row>
    <row r="45" spans="1:18">
      <c r="I45" s="1" t="s">
        <v>36</v>
      </c>
      <c r="J45" s="1" t="s">
        <v>37</v>
      </c>
      <c r="P45" s="62">
        <v>44452</v>
      </c>
      <c r="Q45" s="62">
        <f>Table44[[#This Row],[Start Date]]+6</f>
        <v>44458</v>
      </c>
      <c r="R45" s="55" t="str">
        <f>"Week of "&amp;TEXT(Table44[[#This Row],[Start Date]],"mm/dd/yyyy")</f>
        <v>Week of 09/13/2021</v>
      </c>
    </row>
    <row r="46" spans="1:18">
      <c r="I46" s="1" t="s">
        <v>36</v>
      </c>
      <c r="J46" s="1" t="s">
        <v>34</v>
      </c>
      <c r="P46" s="62">
        <v>44459</v>
      </c>
      <c r="Q46" s="62">
        <f>Table44[[#This Row],[Start Date]]+6</f>
        <v>44465</v>
      </c>
      <c r="R46" s="55" t="str">
        <f>"Week of "&amp;TEXT(Table44[[#This Row],[Start Date]],"mm/dd/yyyy")</f>
        <v>Week of 09/20/2021</v>
      </c>
    </row>
    <row r="47" spans="1:18">
      <c r="I47" s="1" t="s">
        <v>107</v>
      </c>
      <c r="J47" s="1" t="s">
        <v>45</v>
      </c>
      <c r="P47" s="62">
        <v>44466</v>
      </c>
      <c r="Q47" s="62">
        <f>Table44[[#This Row],[Start Date]]+6</f>
        <v>44472</v>
      </c>
      <c r="R47" s="55" t="str">
        <f>"Week of "&amp;TEXT(Table44[[#This Row],[Start Date]],"mm/dd/yyyy")</f>
        <v>Week of 09/27/2021</v>
      </c>
    </row>
    <row r="48" spans="1:18">
      <c r="I48" s="1" t="s">
        <v>107</v>
      </c>
      <c r="J48" s="1" t="s">
        <v>46</v>
      </c>
      <c r="P48" s="62">
        <v>44473</v>
      </c>
      <c r="Q48" s="62">
        <f>Table44[[#This Row],[Start Date]]+6</f>
        <v>44479</v>
      </c>
      <c r="R48" s="55" t="str">
        <f>"Week of "&amp;TEXT(Table44[[#This Row],[Start Date]],"mm/dd/yyyy")</f>
        <v>Week of 10/04/2021</v>
      </c>
    </row>
    <row r="49" spans="9:18">
      <c r="I49" s="1" t="s">
        <v>48</v>
      </c>
      <c r="J49" s="1" t="s">
        <v>74</v>
      </c>
      <c r="P49" s="62">
        <v>44480</v>
      </c>
      <c r="Q49" s="62">
        <f>Table44[[#This Row],[Start Date]]+6</f>
        <v>44486</v>
      </c>
      <c r="R49" s="55" t="str">
        <f>"Week of "&amp;TEXT(Table44[[#This Row],[Start Date]],"mm/dd/yyyy")</f>
        <v>Week of 10/11/2021</v>
      </c>
    </row>
    <row r="50" spans="9:18">
      <c r="I50" s="1" t="s">
        <v>48</v>
      </c>
      <c r="J50" s="1" t="s">
        <v>75</v>
      </c>
      <c r="P50" s="62">
        <v>44487</v>
      </c>
      <c r="Q50" s="62">
        <f>Table44[[#This Row],[Start Date]]+6</f>
        <v>44493</v>
      </c>
      <c r="R50" s="55" t="str">
        <f>"Week of "&amp;TEXT(Table44[[#This Row],[Start Date]],"mm/dd/yyyy")</f>
        <v>Week of 10/18/2021</v>
      </c>
    </row>
    <row r="51" spans="9:18">
      <c r="I51" s="1" t="s">
        <v>48</v>
      </c>
      <c r="J51" s="1" t="s">
        <v>76</v>
      </c>
      <c r="P51" s="62">
        <v>44494</v>
      </c>
      <c r="Q51" s="62">
        <f>Table44[[#This Row],[Start Date]]+6</f>
        <v>44500</v>
      </c>
      <c r="R51" s="55" t="str">
        <f>"Week of "&amp;TEXT(Table44[[#This Row],[Start Date]],"mm/dd/yyyy")</f>
        <v>Week of 10/25/2021</v>
      </c>
    </row>
    <row r="52" spans="9:18">
      <c r="I52" s="1" t="s">
        <v>47</v>
      </c>
      <c r="J52" s="1" t="s">
        <v>77</v>
      </c>
      <c r="P52" s="62">
        <v>44501</v>
      </c>
      <c r="Q52" s="62">
        <f>Table44[[#This Row],[Start Date]]+6</f>
        <v>44507</v>
      </c>
      <c r="R52" s="55" t="str">
        <f>"Week of "&amp;TEXT(Table44[[#This Row],[Start Date]],"mm/dd/yyyy")</f>
        <v>Week of 11/01/2021</v>
      </c>
    </row>
    <row r="53" spans="9:18">
      <c r="P53" s="62">
        <v>44508</v>
      </c>
      <c r="Q53" s="62">
        <f>Table44[[#This Row],[Start Date]]+6</f>
        <v>44514</v>
      </c>
      <c r="R53" s="55" t="str">
        <f>"Week of "&amp;TEXT(Table44[[#This Row],[Start Date]],"mm/dd/yyyy")</f>
        <v>Week of 11/08/2021</v>
      </c>
    </row>
    <row r="54" spans="9:18">
      <c r="P54" s="62">
        <v>44515</v>
      </c>
      <c r="Q54" s="62">
        <f>Table44[[#This Row],[Start Date]]+6</f>
        <v>44521</v>
      </c>
      <c r="R54" s="55" t="str">
        <f>"Week of "&amp;TEXT(Table44[[#This Row],[Start Date]],"mm/dd/yyyy")</f>
        <v>Week of 11/15/2021</v>
      </c>
    </row>
    <row r="55" spans="9:18">
      <c r="P55" s="62">
        <v>44522</v>
      </c>
      <c r="Q55" s="62">
        <f>Table44[[#This Row],[Start Date]]+6</f>
        <v>44528</v>
      </c>
      <c r="R55" s="55" t="str">
        <f>"Week of "&amp;TEXT(Table44[[#This Row],[Start Date]],"mm/dd/yyyy")</f>
        <v>Week of 11/22/2021</v>
      </c>
    </row>
    <row r="56" spans="9:18">
      <c r="P56" s="62">
        <v>44529</v>
      </c>
      <c r="Q56" s="62">
        <f>Table44[[#This Row],[Start Date]]+6</f>
        <v>44535</v>
      </c>
      <c r="R56" s="55" t="str">
        <f>"Week of "&amp;TEXT(Table44[[#This Row],[Start Date]],"mm/dd/yyyy")</f>
        <v>Week of 11/29/2021</v>
      </c>
    </row>
    <row r="57" spans="9:18">
      <c r="P57" s="62">
        <v>44536</v>
      </c>
      <c r="Q57" s="62">
        <f>Table44[[#This Row],[Start Date]]+6</f>
        <v>44542</v>
      </c>
      <c r="R57" s="55" t="str">
        <f>"Week of "&amp;TEXT(Table44[[#This Row],[Start Date]],"mm/dd/yyyy")</f>
        <v>Week of 12/06/2021</v>
      </c>
    </row>
    <row r="58" spans="9:18">
      <c r="P58" s="62">
        <v>44543</v>
      </c>
      <c r="Q58" s="62">
        <f>Table44[[#This Row],[Start Date]]+6</f>
        <v>44549</v>
      </c>
      <c r="R58" s="55" t="str">
        <f>"Week of "&amp;TEXT(Table44[[#This Row],[Start Date]],"mm/dd/yyyy")</f>
        <v>Week of 12/13/2021</v>
      </c>
    </row>
    <row r="59" spans="9:18">
      <c r="P59" s="62">
        <v>44550</v>
      </c>
      <c r="Q59" s="62">
        <f>Table44[[#This Row],[Start Date]]+6</f>
        <v>44556</v>
      </c>
      <c r="R59" s="55" t="str">
        <f>"Week of "&amp;TEXT(Table44[[#This Row],[Start Date]],"mm/dd/yyyy")</f>
        <v>Week of 12/20/2021</v>
      </c>
    </row>
    <row r="60" spans="9:18">
      <c r="P60" s="62">
        <v>44557</v>
      </c>
      <c r="Q60" s="62">
        <f>Table44[[#This Row],[Start Date]]+6</f>
        <v>44563</v>
      </c>
      <c r="R60" s="55" t="str">
        <f>"Week of "&amp;TEXT(Table44[[#This Row],[Start Date]],"mm/dd/yyyy")</f>
        <v>Week of 12/27/2021</v>
      </c>
    </row>
    <row r="61" spans="9:18">
      <c r="P61" s="62">
        <v>44564</v>
      </c>
      <c r="Q61" s="62">
        <f>Table44[[#This Row],[Start Date]]+6</f>
        <v>44570</v>
      </c>
      <c r="R61" s="55" t="str">
        <f>"Week of "&amp;TEXT(Table44[[#This Row],[Start Date]],"mm/dd/yyyy")</f>
        <v>Week of 01/03/2022</v>
      </c>
    </row>
    <row r="62" spans="9:18">
      <c r="P62" s="62">
        <v>44571</v>
      </c>
      <c r="Q62" s="62">
        <f>Table44[[#This Row],[Start Date]]+6</f>
        <v>44577</v>
      </c>
      <c r="R62" s="55" t="str">
        <f>"Week of "&amp;TEXT(Table44[[#This Row],[Start Date]],"mm/dd/yyyy")</f>
        <v>Week of 01/10/2022</v>
      </c>
    </row>
    <row r="63" spans="9:18">
      <c r="P63" s="62">
        <v>44578</v>
      </c>
      <c r="Q63" s="62">
        <f>Table44[[#This Row],[Start Date]]+6</f>
        <v>44584</v>
      </c>
      <c r="R63" s="55" t="str">
        <f>"Week of "&amp;TEXT(Table44[[#This Row],[Start Date]],"mm/dd/yyyy")</f>
        <v>Week of 01/17/2022</v>
      </c>
    </row>
    <row r="64" spans="9:18">
      <c r="P64" s="62">
        <v>44585</v>
      </c>
      <c r="Q64" s="62">
        <f>Table44[[#This Row],[Start Date]]+6</f>
        <v>44591</v>
      </c>
      <c r="R64" s="55" t="str">
        <f>"Week of "&amp;TEXT(Table44[[#This Row],[Start Date]],"mm/dd/yyyy")</f>
        <v>Week of 01/24/2022</v>
      </c>
    </row>
    <row r="65" spans="16:18">
      <c r="P65" s="62">
        <v>44592</v>
      </c>
      <c r="Q65" s="62">
        <f>Table44[[#This Row],[Start Date]]+6</f>
        <v>44598</v>
      </c>
      <c r="R65" s="55" t="str">
        <f>"Week of "&amp;TEXT(Table44[[#This Row],[Start Date]],"mm/dd/yyyy")</f>
        <v>Week of 01/31/2022</v>
      </c>
    </row>
    <row r="66" spans="16:18">
      <c r="P66" s="62">
        <v>44599</v>
      </c>
      <c r="Q66" s="62">
        <f>Table44[[#This Row],[Start Date]]+6</f>
        <v>44605</v>
      </c>
      <c r="R66" s="55" t="str">
        <f>"Week of "&amp;TEXT(Table44[[#This Row],[Start Date]],"mm/dd/yyyy")</f>
        <v>Week of 02/07/2022</v>
      </c>
    </row>
    <row r="67" spans="16:18">
      <c r="P67" s="62">
        <v>44606</v>
      </c>
      <c r="Q67" s="62">
        <f>Table44[[#This Row],[Start Date]]+6</f>
        <v>44612</v>
      </c>
      <c r="R67" s="55" t="str">
        <f>"Week of "&amp;TEXT(Table44[[#This Row],[Start Date]],"mm/dd/yyyy")</f>
        <v>Week of 02/14/2022</v>
      </c>
    </row>
    <row r="68" spans="16:18">
      <c r="P68" s="62">
        <v>44613</v>
      </c>
      <c r="Q68" s="62">
        <f>Table44[[#This Row],[Start Date]]+6</f>
        <v>44619</v>
      </c>
      <c r="R68" s="55" t="str">
        <f>"Week of "&amp;TEXT(Table44[[#This Row],[Start Date]],"mm/dd/yyyy")</f>
        <v>Week of 02/21/2022</v>
      </c>
    </row>
    <row r="69" spans="16:18">
      <c r="P69" s="62">
        <v>44620</v>
      </c>
      <c r="Q69" s="62">
        <f>Table44[[#This Row],[Start Date]]+6</f>
        <v>44626</v>
      </c>
      <c r="R69" s="55" t="str">
        <f>"Week of "&amp;TEXT(Table44[[#This Row],[Start Date]],"mm/dd/yyyy")</f>
        <v>Week of 02/28/2022</v>
      </c>
    </row>
    <row r="70" spans="16:18">
      <c r="P70" s="62">
        <v>44627</v>
      </c>
      <c r="Q70" s="62">
        <f>Table44[[#This Row],[Start Date]]+6</f>
        <v>44633</v>
      </c>
      <c r="R70" s="55" t="str">
        <f>"Week of "&amp;TEXT(Table44[[#This Row],[Start Date]],"mm/dd/yyyy")</f>
        <v>Week of 03/07/2022</v>
      </c>
    </row>
    <row r="71" spans="16:18">
      <c r="P71" s="62">
        <v>44634</v>
      </c>
      <c r="Q71" s="62">
        <f>Table44[[#This Row],[Start Date]]+6</f>
        <v>44640</v>
      </c>
      <c r="R71" s="55" t="str">
        <f>"Week of "&amp;TEXT(Table44[[#This Row],[Start Date]],"mm/dd/yyyy")</f>
        <v>Week of 03/14/2022</v>
      </c>
    </row>
    <row r="72" spans="16:18">
      <c r="P72" s="62">
        <v>44641</v>
      </c>
      <c r="Q72" s="62">
        <f>Table44[[#This Row],[Start Date]]+6</f>
        <v>44647</v>
      </c>
      <c r="R72" s="55" t="str">
        <f>"Week of "&amp;TEXT(Table44[[#This Row],[Start Date]],"mm/dd/yyyy")</f>
        <v>Week of 03/21/2022</v>
      </c>
    </row>
    <row r="73" spans="16:18">
      <c r="P73" s="62">
        <v>44648</v>
      </c>
      <c r="Q73" s="62">
        <f>Table44[[#This Row],[Start Date]]+6</f>
        <v>44654</v>
      </c>
      <c r="R73" s="55" t="str">
        <f>"Week of "&amp;TEXT(Table44[[#This Row],[Start Date]],"mm/dd/yyyy")</f>
        <v>Week of 03/28/2022</v>
      </c>
    </row>
    <row r="74" spans="16:18">
      <c r="P74" s="62">
        <v>44655</v>
      </c>
      <c r="Q74" s="62">
        <f>Table44[[#This Row],[Start Date]]+6</f>
        <v>44661</v>
      </c>
      <c r="R74" s="55" t="str">
        <f>"Week of "&amp;TEXT(Table44[[#This Row],[Start Date]],"mm/dd/yyyy")</f>
        <v>Week of 04/04/2022</v>
      </c>
    </row>
    <row r="75" spans="16:18">
      <c r="P75" s="62">
        <v>44662</v>
      </c>
      <c r="Q75" s="62">
        <f>Table44[[#This Row],[Start Date]]+6</f>
        <v>44668</v>
      </c>
      <c r="R75" s="55" t="str">
        <f>"Week of "&amp;TEXT(Table44[[#This Row],[Start Date]],"mm/dd/yyyy")</f>
        <v>Week of 04/11/2022</v>
      </c>
    </row>
    <row r="76" spans="16:18">
      <c r="P76" s="62">
        <v>44669</v>
      </c>
      <c r="Q76" s="62">
        <f>Table44[[#This Row],[Start Date]]+6</f>
        <v>44675</v>
      </c>
      <c r="R76" s="55" t="str">
        <f>"Week of "&amp;TEXT(Table44[[#This Row],[Start Date]],"mm/dd/yyyy")</f>
        <v>Week of 04/18/2022</v>
      </c>
    </row>
    <row r="77" spans="16:18">
      <c r="P77" s="62">
        <v>44676</v>
      </c>
      <c r="Q77" s="62">
        <f>Table44[[#This Row],[Start Date]]+6</f>
        <v>44682</v>
      </c>
      <c r="R77" s="55" t="str">
        <f>"Week of "&amp;TEXT(Table44[[#This Row],[Start Date]],"mm/dd/yyyy")</f>
        <v>Week of 04/25/2022</v>
      </c>
    </row>
    <row r="78" spans="16:18">
      <c r="P78" s="62">
        <v>44683</v>
      </c>
      <c r="Q78" s="62">
        <f>Table44[[#This Row],[Start Date]]+6</f>
        <v>44689</v>
      </c>
      <c r="R78" s="55" t="str">
        <f>"Week of "&amp;TEXT(Table44[[#This Row],[Start Date]],"mm/dd/yyyy")</f>
        <v>Week of 05/02/2022</v>
      </c>
    </row>
    <row r="79" spans="16:18">
      <c r="P79" s="62">
        <v>44690</v>
      </c>
      <c r="Q79" s="62">
        <f>Table44[[#This Row],[Start Date]]+6</f>
        <v>44696</v>
      </c>
      <c r="R79" s="55" t="str">
        <f>"Week of "&amp;TEXT(Table44[[#This Row],[Start Date]],"mm/dd/yyyy")</f>
        <v>Week of 05/09/2022</v>
      </c>
    </row>
    <row r="80" spans="16:18">
      <c r="P80" s="62">
        <v>44697</v>
      </c>
      <c r="Q80" s="62">
        <f>Table44[[#This Row],[Start Date]]+6</f>
        <v>44703</v>
      </c>
      <c r="R80" s="55" t="str">
        <f>"Week of "&amp;TEXT(Table44[[#This Row],[Start Date]],"mm/dd/yyyy")</f>
        <v>Week of 05/16/2022</v>
      </c>
    </row>
    <row r="81" spans="16:18">
      <c r="P81" s="62">
        <v>44704</v>
      </c>
      <c r="Q81" s="62">
        <f>Table44[[#This Row],[Start Date]]+6</f>
        <v>44710</v>
      </c>
      <c r="R81" s="55" t="str">
        <f>"Week of "&amp;TEXT(Table44[[#This Row],[Start Date]],"mm/dd/yyyy")</f>
        <v>Week of 05/23/2022</v>
      </c>
    </row>
    <row r="82" spans="16:18">
      <c r="P82" s="62">
        <v>44711</v>
      </c>
      <c r="Q82" s="62">
        <f>Table44[[#This Row],[Start Date]]+6</f>
        <v>44717</v>
      </c>
      <c r="R82" s="55" t="str">
        <f>"Week of "&amp;TEXT(Table44[[#This Row],[Start Date]],"mm/dd/yyyy")</f>
        <v>Week of 05/30/2022</v>
      </c>
    </row>
    <row r="83" spans="16:18">
      <c r="P83" s="62">
        <v>44718</v>
      </c>
      <c r="Q83" s="62">
        <f>Table44[[#This Row],[Start Date]]+6</f>
        <v>44724</v>
      </c>
      <c r="R83" s="55" t="str">
        <f>"Week of "&amp;TEXT(Table44[[#This Row],[Start Date]],"mm/dd/yyyy")</f>
        <v>Week of 06/06/2022</v>
      </c>
    </row>
    <row r="84" spans="16:18">
      <c r="P84" s="62">
        <v>44725</v>
      </c>
      <c r="Q84" s="62">
        <f>Table44[[#This Row],[Start Date]]+6</f>
        <v>44731</v>
      </c>
      <c r="R84" s="55" t="str">
        <f>"Week of "&amp;TEXT(Table44[[#This Row],[Start Date]],"mm/dd/yyyy")</f>
        <v>Week of 06/13/2022</v>
      </c>
    </row>
    <row r="85" spans="16:18">
      <c r="P85" s="62">
        <v>44732</v>
      </c>
      <c r="Q85" s="62">
        <f>Table44[[#This Row],[Start Date]]+6</f>
        <v>44738</v>
      </c>
      <c r="R85" s="55" t="str">
        <f>"Week of "&amp;TEXT(Table44[[#This Row],[Start Date]],"mm/dd/yyyy")</f>
        <v>Week of 06/20/2022</v>
      </c>
    </row>
    <row r="86" spans="16:18">
      <c r="P86" s="62">
        <v>44739</v>
      </c>
      <c r="Q86" s="62">
        <f>Table44[[#This Row],[Start Date]]+6</f>
        <v>44745</v>
      </c>
      <c r="R86" s="55" t="str">
        <f>"Week of "&amp;TEXT(Table44[[#This Row],[Start Date]],"mm/dd/yyyy")</f>
        <v>Week of 06/27/2022</v>
      </c>
    </row>
    <row r="87" spans="16:18">
      <c r="P87" s="62">
        <v>44746</v>
      </c>
      <c r="Q87" s="62">
        <f>Table44[[#This Row],[Start Date]]+6</f>
        <v>44752</v>
      </c>
      <c r="R87" s="55" t="str">
        <f>"Week of "&amp;TEXT(Table44[[#This Row],[Start Date]],"mm/dd/yyyy")</f>
        <v>Week of 07/04/2022</v>
      </c>
    </row>
    <row r="88" spans="16:18">
      <c r="P88" s="62">
        <v>44753</v>
      </c>
      <c r="Q88" s="62">
        <f>Table44[[#This Row],[Start Date]]+6</f>
        <v>44759</v>
      </c>
      <c r="R88" s="55" t="str">
        <f>"Week of "&amp;TEXT(Table44[[#This Row],[Start Date]],"mm/dd/yyyy")</f>
        <v>Week of 07/11/2022</v>
      </c>
    </row>
    <row r="89" spans="16:18">
      <c r="P89" s="62">
        <v>44760</v>
      </c>
      <c r="Q89" s="62">
        <f>Table44[[#This Row],[Start Date]]+6</f>
        <v>44766</v>
      </c>
      <c r="R89" s="55" t="str">
        <f>"Week of "&amp;TEXT(Table44[[#This Row],[Start Date]],"mm/dd/yyyy")</f>
        <v>Week of 07/18/2022</v>
      </c>
    </row>
    <row r="90" spans="16:18">
      <c r="P90" s="62">
        <v>44767</v>
      </c>
      <c r="Q90" s="62">
        <f>Table44[[#This Row],[Start Date]]+6</f>
        <v>44773</v>
      </c>
      <c r="R90" s="55" t="str">
        <f>"Week of "&amp;TEXT(Table44[[#This Row],[Start Date]],"mm/dd/yyyy")</f>
        <v>Week of 07/25/2022</v>
      </c>
    </row>
    <row r="91" spans="16:18">
      <c r="P91" s="62">
        <v>44774</v>
      </c>
      <c r="Q91" s="62">
        <f>Table44[[#This Row],[Start Date]]+6</f>
        <v>44780</v>
      </c>
      <c r="R91" s="55" t="str">
        <f>"Week of "&amp;TEXT(Table44[[#This Row],[Start Date]],"mm/dd/yyyy")</f>
        <v>Week of 08/01/2022</v>
      </c>
    </row>
    <row r="92" spans="16:18">
      <c r="P92" s="62">
        <v>44781</v>
      </c>
      <c r="Q92" s="62">
        <f>Table44[[#This Row],[Start Date]]+6</f>
        <v>44787</v>
      </c>
      <c r="R92" s="55" t="str">
        <f>"Week of "&amp;TEXT(Table44[[#This Row],[Start Date]],"mm/dd/yyyy")</f>
        <v>Week of 08/08/2022</v>
      </c>
    </row>
    <row r="93" spans="16:18">
      <c r="P93" s="62">
        <v>44788</v>
      </c>
      <c r="Q93" s="62">
        <f>Table44[[#This Row],[Start Date]]+6</f>
        <v>44794</v>
      </c>
      <c r="R93" s="55" t="str">
        <f>"Week of "&amp;TEXT(Table44[[#This Row],[Start Date]],"mm/dd/yyyy")</f>
        <v>Week of 08/15/2022</v>
      </c>
    </row>
    <row r="94" spans="16:18">
      <c r="P94" s="62">
        <v>44795</v>
      </c>
      <c r="Q94" s="62">
        <f>Table44[[#This Row],[Start Date]]+6</f>
        <v>44801</v>
      </c>
      <c r="R94" s="55" t="str">
        <f>"Week of "&amp;TEXT(Table44[[#This Row],[Start Date]],"mm/dd/yyyy")</f>
        <v>Week of 08/22/2022</v>
      </c>
    </row>
    <row r="95" spans="16:18">
      <c r="P95" s="62">
        <v>44802</v>
      </c>
      <c r="Q95" s="62">
        <f>Table44[[#This Row],[Start Date]]+6</f>
        <v>44808</v>
      </c>
      <c r="R95" s="55" t="str">
        <f>"Week of "&amp;TEXT(Table44[[#This Row],[Start Date]],"mm/dd/yyyy")</f>
        <v>Week of 08/29/2022</v>
      </c>
    </row>
    <row r="96" spans="16:18">
      <c r="P96" s="62">
        <v>44809</v>
      </c>
      <c r="Q96" s="62">
        <f>Table44[[#This Row],[Start Date]]+6</f>
        <v>44815</v>
      </c>
      <c r="R96" s="55" t="str">
        <f>"Week of "&amp;TEXT(Table44[[#This Row],[Start Date]],"mm/dd/yyyy")</f>
        <v>Week of 09/05/2022</v>
      </c>
    </row>
    <row r="97" spans="16:18">
      <c r="P97" s="62">
        <v>44816</v>
      </c>
      <c r="Q97" s="62">
        <f>Table44[[#This Row],[Start Date]]+6</f>
        <v>44822</v>
      </c>
      <c r="R97" s="55" t="str">
        <f>"Week of "&amp;TEXT(Table44[[#This Row],[Start Date]],"mm/dd/yyyy")</f>
        <v>Week of 09/12/2022</v>
      </c>
    </row>
    <row r="98" spans="16:18">
      <c r="P98" s="62">
        <v>44823</v>
      </c>
      <c r="Q98" s="62">
        <f>Table44[[#This Row],[Start Date]]+6</f>
        <v>44829</v>
      </c>
      <c r="R98" s="55" t="str">
        <f>"Week of "&amp;TEXT(Table44[[#This Row],[Start Date]],"mm/dd/yyyy")</f>
        <v>Week of 09/19/2022</v>
      </c>
    </row>
    <row r="99" spans="16:18">
      <c r="P99" s="62">
        <v>44830</v>
      </c>
      <c r="Q99" s="62">
        <f>Table44[[#This Row],[Start Date]]+6</f>
        <v>44836</v>
      </c>
      <c r="R99" s="55" t="str">
        <f>"Week of "&amp;TEXT(Table44[[#This Row],[Start Date]],"mm/dd/yyyy")</f>
        <v>Week of 09/26/2022</v>
      </c>
    </row>
    <row r="100" spans="16:18">
      <c r="P100" s="62">
        <v>44837</v>
      </c>
      <c r="Q100" s="62">
        <f>Table44[[#This Row],[Start Date]]+6</f>
        <v>44843</v>
      </c>
      <c r="R100" s="55" t="str">
        <f>"Week of "&amp;TEXT(Table44[[#This Row],[Start Date]],"mm/dd/yyyy")</f>
        <v>Week of 10/03/2022</v>
      </c>
    </row>
    <row r="101" spans="16:18">
      <c r="P101" s="62">
        <v>44844</v>
      </c>
      <c r="Q101" s="62">
        <f>Table44[[#This Row],[Start Date]]+6</f>
        <v>44850</v>
      </c>
      <c r="R101" s="55" t="str">
        <f>"Week of "&amp;TEXT(Table44[[#This Row],[Start Date]],"mm/dd/yyyy")</f>
        <v>Week of 10/10/2022</v>
      </c>
    </row>
    <row r="102" spans="16:18">
      <c r="P102" s="62">
        <v>44851</v>
      </c>
      <c r="Q102" s="62">
        <f>Table44[[#This Row],[Start Date]]+6</f>
        <v>44857</v>
      </c>
      <c r="R102" s="55" t="str">
        <f>"Week of "&amp;TEXT(Table44[[#This Row],[Start Date]],"mm/dd/yyyy")</f>
        <v>Week of 10/17/2022</v>
      </c>
    </row>
    <row r="103" spans="16:18">
      <c r="P103" s="62">
        <v>44858</v>
      </c>
      <c r="Q103" s="62">
        <f>Table44[[#This Row],[Start Date]]+6</f>
        <v>44864</v>
      </c>
      <c r="R103" s="55" t="str">
        <f>"Week of "&amp;TEXT(Table44[[#This Row],[Start Date]],"mm/dd/yyyy")</f>
        <v>Week of 10/24/2022</v>
      </c>
    </row>
    <row r="104" spans="16:18">
      <c r="P104" s="62">
        <v>44865</v>
      </c>
      <c r="Q104" s="62">
        <f>Table44[[#This Row],[Start Date]]+6</f>
        <v>44871</v>
      </c>
      <c r="R104" s="55" t="str">
        <f>"Week of "&amp;TEXT(Table44[[#This Row],[Start Date]],"mm/dd/yyyy")</f>
        <v>Week of 10/31/2022</v>
      </c>
    </row>
    <row r="105" spans="16:18">
      <c r="P105" s="62">
        <v>44872</v>
      </c>
      <c r="Q105" s="62">
        <f>Table44[[#This Row],[Start Date]]+6</f>
        <v>44878</v>
      </c>
      <c r="R105" s="55" t="str">
        <f>"Week of "&amp;TEXT(Table44[[#This Row],[Start Date]],"mm/dd/yyyy")</f>
        <v>Week of 11/07/2022</v>
      </c>
    </row>
    <row r="106" spans="16:18">
      <c r="P106" s="62">
        <v>44879</v>
      </c>
      <c r="Q106" s="62">
        <f>Table44[[#This Row],[Start Date]]+6</f>
        <v>44885</v>
      </c>
      <c r="R106" s="55" t="str">
        <f>"Week of "&amp;TEXT(Table44[[#This Row],[Start Date]],"mm/dd/yyyy")</f>
        <v>Week of 11/14/2022</v>
      </c>
    </row>
    <row r="107" spans="16:18">
      <c r="P107" s="62">
        <v>44886</v>
      </c>
      <c r="Q107" s="62">
        <f>Table44[[#This Row],[Start Date]]+6</f>
        <v>44892</v>
      </c>
      <c r="R107" s="55" t="str">
        <f>"Week of "&amp;TEXT(Table44[[#This Row],[Start Date]],"mm/dd/yyyy")</f>
        <v>Week of 11/21/2022</v>
      </c>
    </row>
    <row r="108" spans="16:18">
      <c r="P108" s="62">
        <v>44893</v>
      </c>
      <c r="Q108" s="62">
        <f>Table44[[#This Row],[Start Date]]+6</f>
        <v>44899</v>
      </c>
      <c r="R108" s="55" t="str">
        <f>"Week of "&amp;TEXT(Table44[[#This Row],[Start Date]],"mm/dd/yyyy")</f>
        <v>Week of 11/28/2022</v>
      </c>
    </row>
    <row r="109" spans="16:18">
      <c r="P109" s="62">
        <v>44900</v>
      </c>
      <c r="Q109" s="62">
        <f>Table44[[#This Row],[Start Date]]+6</f>
        <v>44906</v>
      </c>
      <c r="R109" s="55" t="str">
        <f>"Week of "&amp;TEXT(Table44[[#This Row],[Start Date]],"mm/dd/yyyy")</f>
        <v>Week of 12/05/2022</v>
      </c>
    </row>
    <row r="110" spans="16:18">
      <c r="P110" s="62">
        <v>44907</v>
      </c>
      <c r="Q110" s="62">
        <f>Table44[[#This Row],[Start Date]]+6</f>
        <v>44913</v>
      </c>
      <c r="R110" s="55" t="str">
        <f>"Week of "&amp;TEXT(Table44[[#This Row],[Start Date]],"mm/dd/yyyy")</f>
        <v>Week of 12/12/2022</v>
      </c>
    </row>
    <row r="111" spans="16:18">
      <c r="P111" s="62">
        <v>44914</v>
      </c>
      <c r="Q111" s="62">
        <f>Table44[[#This Row],[Start Date]]+6</f>
        <v>44920</v>
      </c>
      <c r="R111" s="55" t="str">
        <f>"Week of "&amp;TEXT(Table44[[#This Row],[Start Date]],"mm/dd/yyyy")</f>
        <v>Week of 12/19/2022</v>
      </c>
    </row>
    <row r="112" spans="16:18">
      <c r="P112" s="62">
        <v>44921</v>
      </c>
      <c r="Q112" s="62">
        <f>Table44[[#This Row],[Start Date]]+6</f>
        <v>44927</v>
      </c>
      <c r="R112" s="55" t="str">
        <f>"Week of "&amp;TEXT(Table44[[#This Row],[Start Date]],"mm/dd/yyyy")</f>
        <v>Week of 12/26/2022</v>
      </c>
    </row>
    <row r="113" spans="16:18">
      <c r="P113" s="62">
        <v>44928</v>
      </c>
      <c r="Q113" s="62">
        <f>Table44[[#This Row],[Start Date]]+6</f>
        <v>44934</v>
      </c>
      <c r="R113" s="55" t="str">
        <f>"Week of "&amp;TEXT(Table44[[#This Row],[Start Date]],"mm/dd/yyyy")</f>
        <v>Week of 01/02/2023</v>
      </c>
    </row>
    <row r="114" spans="16:18">
      <c r="P114" s="62">
        <v>44935</v>
      </c>
      <c r="Q114" s="62">
        <f>Table44[[#This Row],[Start Date]]+6</f>
        <v>44941</v>
      </c>
      <c r="R114" s="55" t="str">
        <f>"Week of "&amp;TEXT(Table44[[#This Row],[Start Date]],"mm/dd/yyyy")</f>
        <v>Week of 01/09/2023</v>
      </c>
    </row>
    <row r="115" spans="16:18">
      <c r="P115" s="62">
        <v>44942</v>
      </c>
      <c r="Q115" s="62">
        <f>Table44[[#This Row],[Start Date]]+6</f>
        <v>44948</v>
      </c>
      <c r="R115" s="55" t="str">
        <f>"Week of "&amp;TEXT(Table44[[#This Row],[Start Date]],"mm/dd/yyyy")</f>
        <v>Week of 01/16/2023</v>
      </c>
    </row>
    <row r="116" spans="16:18">
      <c r="P116" s="62">
        <v>44949</v>
      </c>
      <c r="Q116" s="62">
        <f>Table44[[#This Row],[Start Date]]+6</f>
        <v>44955</v>
      </c>
      <c r="R116" s="55" t="str">
        <f>"Week of "&amp;TEXT(Table44[[#This Row],[Start Date]],"mm/dd/yyyy")</f>
        <v>Week of 01/23/2023</v>
      </c>
    </row>
    <row r="117" spans="16:18">
      <c r="P117" s="62">
        <v>44956</v>
      </c>
      <c r="Q117" s="62">
        <f>Table44[[#This Row],[Start Date]]+6</f>
        <v>44962</v>
      </c>
      <c r="R117" s="55" t="str">
        <f>"Week of "&amp;TEXT(Table44[[#This Row],[Start Date]],"mm/dd/yyyy")</f>
        <v>Week of 01/30/2023</v>
      </c>
    </row>
  </sheetData>
  <phoneticPr fontId="23" type="noConversion"/>
  <conditionalFormatting sqref="C26:C36 C6:C11 C14:C20">
    <cfRule type="duplicateValues" dxfId="0" priority="4"/>
  </conditionalFormatting>
  <pageMargins left="0.75" right="0.75" top="1" bottom="1" header="0.5" footer="0.5"/>
  <pageSetup orientation="portrait" horizontalDpi="1200" verticalDpi="1200" r:id="rId3"/>
  <headerFooter alignWithMargins="0"/>
  <drawing r:id="rId4"/>
  <legacyDrawing r:id="rId5"/>
  <tableParts count="3">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MobileVersion</vt:lpstr>
      <vt:lpstr>Dashboard</vt:lpstr>
      <vt:lpstr>Time Log</vt:lpstr>
      <vt:lpstr>Hours Spent by Category</vt:lpstr>
      <vt:lpstr>Hours Spent by Tasks</vt:lpstr>
      <vt:lpstr>Hours Spent by Days</vt:lpstr>
      <vt:lpstr>Projects</vt:lpstr>
      <vt:lpstr>'Hours Spent by Category'!Category_Hrs_Pivot</vt:lpstr>
      <vt:lpstr>CategoryIDList</vt:lpstr>
      <vt:lpstr>Chores</vt:lpstr>
      <vt:lpstr>'Hours Spent by Days'!Print_Area</vt:lpstr>
      <vt:lpstr>'Time Log'!Print_Area</vt:lpstr>
      <vt:lpstr>'Time Log'!Print_Titles</vt:lpstr>
      <vt:lpstr>'Hours Spent by Days'!projectID</vt:lpstr>
      <vt:lpstr>'Hours Spent by Tasks'!projectID</vt:lpstr>
      <vt:lpstr>projectID</vt:lpstr>
      <vt:lpstr>'Hours Spent by Tasks'!Task_Hrs_Pivot</vt:lpstr>
      <vt:lpstr>'Hours Spent by Days'!taskID</vt:lpstr>
      <vt:lpstr>'Hours Spent by Tasks'!taskID</vt:lpstr>
      <vt:lpstr>taskID</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Time Tracking Template</dc:title>
  <dc:creator>Vertex42.com</dc:creator>
  <dc:description>(c) 2013-2018 Vertex42 LLC. All Rights Reserved.</dc:description>
  <cp:lastModifiedBy>Brandon Wong</cp:lastModifiedBy>
  <cp:lastPrinted>2021-03-20T22:50:17Z</cp:lastPrinted>
  <dcterms:created xsi:type="dcterms:W3CDTF">2003-11-23T07:57:29Z</dcterms:created>
  <dcterms:modified xsi:type="dcterms:W3CDTF">2021-03-23T06:08:24Z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2013-2018 Vertex42 LLC</vt:lpwstr>
  </property>
  <property fmtid="{D5CDD505-2E9C-101B-9397-08002B2CF9AE}" pid="3" name="Version">
    <vt:lpwstr>1.1.3</vt:lpwstr>
  </property>
</Properties>
</file>